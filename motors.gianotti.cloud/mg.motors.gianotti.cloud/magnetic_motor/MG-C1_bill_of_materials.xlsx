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OM" sheetId="2" state="visible" r:id="rId4"/>
    <sheet name="Roll-up" sheetId="3" state="visible" r:id="rId5"/>
    <sheet name="Energy budget" sheetId="4" state="visible" r:id="rId6"/>
    <sheet name="Sources" sheetId="5" state="visible" r:id="rId7"/>
  </sheets>
  <definedNames>
    <definedName function="false" hidden="false" name="Roll_up_rate" vbProcedure="false">'Roll-up'!$D$5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<sst xmlns="http://schemas.openxmlformats.org/spreadsheetml/2006/main" count="830" uniqueCount="528">
  <si>
    <t xml:space="preserve">MG-C1  ENERGY TRANSFORMER  -  BILL OF MATERIALS</t>
  </si>
  <si>
    <t xml:space="preserve">Flux-modulated magnetic gear stage (MG-1) driven as a human/low-speed charging generator</t>
  </si>
  <si>
    <t xml:space="preserve">Revision</t>
  </si>
  <si>
    <t xml:space="preserve">0.1  -  companion to MG-1_drawing_set.pdf (15 sheets) and the MG1_*.scad parametric source</t>
  </si>
  <si>
    <t xml:space="preserve">Programme</t>
  </si>
  <si>
    <t xml:space="preserve">CBJG LLC  ·  Benchtop Motor Program.  SAFE-01 reset semantics per GitHub issue #14 (canonical).</t>
  </si>
  <si>
    <t xml:space="preserve">Status</t>
  </si>
  <si>
    <t xml:space="preserve">BENCH INSTRUMENT + demonstrator. Not a product. Not for production.</t>
  </si>
  <si>
    <t xml:space="preserve">What this builds</t>
  </si>
  <si>
    <t xml:space="preserve">A hand-crank (or slow wind / low-head flow) charger. The slow, high-torque input turns the</t>
  </si>
  <si>
    <t xml:space="preserve">MG-1 low-speed port; MG-1 steps speed UP 4.5:1 into a low-kV hub motor used as a generator;</t>
  </si>
  <si>
    <t xml:space="preserve">a 3-phase bridge, a buck-boost charge controller and a LiFePO4 buffer pack feed a USB-PD port.</t>
  </si>
  <si>
    <t xml:space="preserve">Honest headline</t>
  </si>
  <si>
    <t xml:space="preserve">~12 W at the USB-C port at a 90 rpm crank. See the 'Energy budget' tab - it is a live model.</t>
  </si>
  <si>
    <t xml:space="preserve">What limits it</t>
  </si>
  <si>
    <t xml:space="preserve">NOT the operator. Sustained one-hand cranking is 54 +/- 14 W (Jansen &amp; Slob, 2003).</t>
  </si>
  <si>
    <t xml:space="preserve">MG-1's pull-out torque caps mechanical input at ~23 W at 90 rpm. The gear is the bottleneck.</t>
  </si>
  <si>
    <t xml:space="preserve">Torque scales with active volume at 12-20 N.m/L, so more power means a physically bigger gear.</t>
  </si>
  <si>
    <t xml:space="preserve">No over-unity</t>
  </si>
  <si>
    <t xml:space="preserve">P_out &lt;= P_in at all times. Gate 4 (sheet 12) is a MANDATORY falsification test:</t>
  </si>
  <si>
    <t xml:space="preserve">three ports measured, cells cross-calibrated and SWAPPED between ports. Required result:</t>
  </si>
  <si>
    <t xml:space="preserve">no excess energy. Any reading suggesting otherwise is an instrumentation error, and the</t>
  </si>
  <si>
    <t xml:space="preserve">three-port method exists specifically so that error has nowhere to hide.</t>
  </si>
  <si>
    <t xml:space="preserve">Build tiers</t>
  </si>
  <si>
    <t xml:space="preserve">CHG  = everything needed to build and run the charger</t>
  </si>
  <si>
    <t xml:space="preserve">INST = adds the three-port instrumentation for Gates 1-4</t>
  </si>
  <si>
    <t xml:space="preserve">OPT  = variant sweeps (V2/V3 pole pieces), the designed power board, rotary torque sensors</t>
  </si>
  <si>
    <t xml:space="preserve">Cost basis</t>
  </si>
  <si>
    <t xml:space="preserve">USD, mid-2026, single-unit hobby quantities unless a pack size is stated. Prices move;</t>
  </si>
  <si>
    <t xml:space="preserve">the 'Unit cost' column is an input, not a fact. Sources for the researched lines are on</t>
  </si>
  <si>
    <t xml:space="preserve">the 'Sources' tab. Freight, tax and contingency rates are assumptions on 'Roll-up'.</t>
  </si>
  <si>
    <t xml:space="preserve">Printed parts</t>
  </si>
  <si>
    <t xml:space="preserve">Costed by filament mass against a single rate cell on 'Roll-up'. PETG or ASA. NEVER PLA:</t>
  </si>
  <si>
    <t xml:space="preserve">PLA creeps at 55 C, a crept air gap is a rotor crash.</t>
  </si>
  <si>
    <t xml:space="preserve">Critical BOM note</t>
  </si>
  <si>
    <t xml:space="preserve">Line C1 - the 22 pole-piece bolts MUST be plain low-carbon steel. A2/A4 stainless is</t>
  </si>
  <si>
    <t xml:space="preserve">austenitic and near-non-magnetic; fit it and the gear makes almost no torque.</t>
  </si>
  <si>
    <t xml:space="preserve">MG-C1 BILL OF MATERIALS  -  all line items</t>
  </si>
  <si>
    <t xml:space="preserve">Printed-part unit costs are formulas: mass(g)/1000 x the filament rate on Roll-up!C7.</t>
  </si>
  <si>
    <t xml:space="preserve">Sect</t>
  </si>
  <si>
    <t xml:space="preserve">Ref</t>
  </si>
  <si>
    <t xml:space="preserve">Item</t>
  </si>
  <si>
    <t xml:space="preserve">Spec / part number</t>
  </si>
  <si>
    <t xml:space="preserve">Qty</t>
  </si>
  <si>
    <t xml:space="preserve">Unit</t>
  </si>
  <si>
    <t xml:space="preserve">Unit cost (USD est.)</t>
  </si>
  <si>
    <t xml:space="preserve">Extended (USD)</t>
  </si>
  <si>
    <t xml:space="preserve">Tier</t>
  </si>
  <si>
    <t xml:space="preserve">Supplier</t>
  </si>
  <si>
    <t xml:space="preserve">Notes</t>
  </si>
  <si>
    <t xml:space="preserve">A</t>
  </si>
  <si>
    <t xml:space="preserve">PRINTED PARTS  (PETG or ASA - never PLA)</t>
  </si>
  <si>
    <t xml:space="preserve">A1</t>
  </si>
  <si>
    <t xml:space="preserve">HS rotor carrier</t>
  </si>
  <si>
    <t xml:space="preserve">MG1_rotor.scad, which="hs", 8 thk, d120</t>
  </si>
  <si>
    <t xml:space="preserve">ea</t>
  </si>
  <si>
    <t xml:space="preserve">CHG</t>
  </si>
  <si>
    <t xml:space="preserve">self-printed</t>
  </si>
  <si>
    <t xml:space="preserve">95 g. Pockets UP, 100% infill under pockets.</t>
  </si>
  <si>
    <t xml:space="preserve">A2</t>
  </si>
  <si>
    <t xml:space="preserve">LS rotor carrier</t>
  </si>
  <si>
    <t xml:space="preserve">MG1_rotor.scad, which="ls", 8 thk, d120</t>
  </si>
  <si>
    <t xml:space="preserve">95 g. Metal hub insert or through-pin at the shaft.</t>
  </si>
  <si>
    <t xml:space="preserve">A3</t>
  </si>
  <si>
    <t xml:space="preserve">Modulator plate + reaction arm</t>
  </si>
  <si>
    <t xml:space="preserve">MG1_modulator.scad, variant=1, 12 thk</t>
  </si>
  <si>
    <t xml:space="preserve">150 g. Arm SOLID, 6 perimeters - it is a measurement datum.</t>
  </si>
  <si>
    <t xml:space="preserve">A4</t>
  </si>
  <si>
    <t xml:space="preserve">Frame end plate</t>
  </si>
  <si>
    <t xml:space="preserve">MG1_frame.scad, part="frame", 6 thk</t>
  </si>
  <si>
    <t xml:space="preserve">65 g each. Bearing seat takes a bonded steel sleeve.</t>
  </si>
  <si>
    <t xml:space="preserve">A5</t>
  </si>
  <si>
    <t xml:space="preserve">Gap shim, trial only</t>
  </si>
  <si>
    <t xml:space="preserve">MG1_frame.scad, part="shim", 0.10</t>
  </si>
  <si>
    <t xml:space="preserve">OPT</t>
  </si>
  <si>
    <t xml:space="preserve">2 g each. Trial fit only - real sweep uses metal shim stock.</t>
  </si>
  <si>
    <t xml:space="preserve">A6</t>
  </si>
  <si>
    <t xml:space="preserve">Crank housing + pillow-block mount</t>
  </si>
  <si>
    <t xml:space="preserve">derived from frame plate PCD</t>
  </si>
  <si>
    <t xml:space="preserve">set</t>
  </si>
  <si>
    <t xml:space="preserve">180 g.</t>
  </si>
  <si>
    <t xml:space="preserve">A7</t>
  </si>
  <si>
    <t xml:space="preserve">Burst shroud frame</t>
  </si>
  <si>
    <t xml:space="preserve">holds the polycarbonate window</t>
  </si>
  <si>
    <t xml:space="preserve">120 g. Interlock switch pocket moulded in.</t>
  </si>
  <si>
    <t xml:space="preserve">A8</t>
  </si>
  <si>
    <t xml:space="preserve">Assembly jig plates</t>
  </si>
  <si>
    <t xml:space="preserve">threaded-rod walk-in jig, sheet 3 step 7</t>
  </si>
  <si>
    <t xml:space="preserve">60 g total.</t>
  </si>
  <si>
    <t xml:space="preserve">A9</t>
  </si>
  <si>
    <t xml:space="preserve">Generator mount cradle</t>
  </si>
  <si>
    <t xml:space="preserve">6.5in hub motor stator clamp</t>
  </si>
  <si>
    <t xml:space="preserve">140 g.</t>
  </si>
  <si>
    <t xml:space="preserve">B</t>
  </si>
  <si>
    <t xml:space="preserve">MAGNETS &amp; BONDING</t>
  </si>
  <si>
    <t xml:space="preserve">B1</t>
  </si>
  <si>
    <t xml:space="preserve">Neodymium block magnet</t>
  </si>
  <si>
    <t xml:space="preserve">N42 nickel, 20 x 10 x 5 mm, Q-20-10-05-N</t>
  </si>
  <si>
    <t xml:space="preserve">supermagnete</t>
  </si>
  <si>
    <t xml:space="preserve">38 used (20 HS + 18 LS) + 7 spares. EUR1.26 ea from 40 pcs.</t>
  </si>
  <si>
    <t xml:space="preserve">B2</t>
  </si>
  <si>
    <t xml:space="preserve">Magnet keeper / storage box</t>
  </si>
  <si>
    <t xml:space="preserve">steel-lined, separated cells</t>
  </si>
  <si>
    <t xml:space="preserve">generic</t>
  </si>
  <si>
    <t xml:space="preserve">Loose N42 blocks are projectiles. Store separated.</t>
  </si>
  <si>
    <t xml:space="preserve">B3</t>
  </si>
  <si>
    <t xml:space="preserve">Cyanoacrylate, thick gel</t>
  </si>
  <si>
    <t xml:space="preserve">20 g</t>
  </si>
  <si>
    <t xml:space="preserve">Seat DRY and probe polarity BEFORE any adhesive.</t>
  </si>
  <si>
    <t xml:space="preserve">B4</t>
  </si>
  <si>
    <t xml:space="preserve">CA activator</t>
  </si>
  <si>
    <t xml:space="preserve">150 ml</t>
  </si>
  <si>
    <t xml:space="preserve">B5</t>
  </si>
  <si>
    <t xml:space="preserve">Isopropyl alcohol</t>
  </si>
  <si>
    <t xml:space="preserve">500 ml, pocket prep</t>
  </si>
  <si>
    <t xml:space="preserve">C</t>
  </si>
  <si>
    <t xml:space="preserve">GAP-CRITICAL METAL, FASTENERS &amp; SHAFTING</t>
  </si>
  <si>
    <t xml:space="preserve">C1</t>
  </si>
  <si>
    <t xml:space="preserve">Pole-piece bolt</t>
  </si>
  <si>
    <t xml:space="preserve">M8 x 25, grade 4.8 LOW-CARBON STEEL, plain</t>
  </si>
  <si>
    <t xml:space="preserve">fastener supplier</t>
  </si>
  <si>
    <t xml:space="preserve">CRITICAL: must be magnetic plain steel. A2/A4 stainless is austenitic and near-non-magnetic - it will produce almost zero torque.</t>
  </si>
  <si>
    <t xml:space="preserve">C2</t>
  </si>
  <si>
    <t xml:space="preserve">M8 flat washer</t>
  </si>
  <si>
    <t xml:space="preserve">plain steel</t>
  </si>
  <si>
    <t xml:space="preserve">C3</t>
  </si>
  <si>
    <t xml:space="preserve">Tie rod stock</t>
  </si>
  <si>
    <t xml:space="preserve">M5 x 1000 threaded rod, A2 stainless</t>
  </si>
  <si>
    <t xml:space="preserve">Cut 4 x 53.6 mm. Stainless is fine here - it sits outside the flux path.</t>
  </si>
  <si>
    <t xml:space="preserve">C4</t>
  </si>
  <si>
    <t xml:space="preserve">M5 nyloc nut</t>
  </si>
  <si>
    <t xml:space="preserve">C5</t>
  </si>
  <si>
    <t xml:space="preserve">Aluminium standoff tube</t>
  </si>
  <si>
    <t xml:space="preserve">9.0 OD x 5.3 ID x 300 mm</t>
  </si>
  <si>
    <t xml:space="preserve">metal supplier</t>
  </si>
  <si>
    <t xml:space="preserve">Cut 4 x 41.6 mm. THESE set the two 0.80 mm air gaps, not the plastic.</t>
  </si>
  <si>
    <t xml:space="preserve">C6</t>
  </si>
  <si>
    <t xml:space="preserve">Deep-groove ball bearing</t>
  </si>
  <si>
    <t xml:space="preserve">608ZZ, 8 x 22 x 7, 10-pack</t>
  </si>
  <si>
    <t xml:space="preserve">pk</t>
  </si>
  <si>
    <t xml:space="preserve">Amazon (NSK)</t>
  </si>
  <si>
    <t xml:space="preserve">4 used, 6 spare. USD2.07 each.</t>
  </si>
  <si>
    <t xml:space="preserve">C7</t>
  </si>
  <si>
    <t xml:space="preserve">Steel bearing sleeve</t>
  </si>
  <si>
    <t xml:space="preserve">22.0 OD, 1.2 wall, 30 mm long</t>
  </si>
  <si>
    <t xml:space="preserve">Bonded into the printed seat. NEVER run a 608 directly in plastic.</t>
  </si>
  <si>
    <t xml:space="preserve">C8</t>
  </si>
  <si>
    <t xml:space="preserve">Ground shaft</t>
  </si>
  <si>
    <t xml:space="preserve">d8 h6 x 100 mm, 1045 or stainless</t>
  </si>
  <si>
    <t xml:space="preserve">HS shaft to generator, LS shaft to crank.</t>
  </si>
  <si>
    <t xml:space="preserve">C9</t>
  </si>
  <si>
    <t xml:space="preserve">Key steel</t>
  </si>
  <si>
    <t xml:space="preserve">3 x 3 x 100 mm</t>
  </si>
  <si>
    <t xml:space="preserve">C10</t>
  </si>
  <si>
    <t xml:space="preserve">Shim stock assortment</t>
  </si>
  <si>
    <t xml:space="preserve">brass/steel 0.05-0.20 mm</t>
  </si>
  <si>
    <t xml:space="preserve">The real Gate 1 gap sweep: 0.60/0.80/1.00/1.20.</t>
  </si>
  <si>
    <t xml:space="preserve">C11</t>
  </si>
  <si>
    <t xml:space="preserve">M3 mild steel rod</t>
  </si>
  <si>
    <t xml:space="preserve">3 mm x 1 m, for V2 bundled pole pieces</t>
  </si>
  <si>
    <t xml:space="preserve">V2 variant: 11 x 7-off M3 bundles, ~7x lower eddy loss.</t>
  </si>
  <si>
    <t xml:space="preserve">C12</t>
  </si>
  <si>
    <t xml:space="preserve">Laminated steel sheet</t>
  </si>
  <si>
    <t xml:space="preserve">0.35 mm, 100 x 100, for V3 pole pieces</t>
  </si>
  <si>
    <t xml:space="preserve">V3 variant: stacked laminations, approaches literature loss.</t>
  </si>
  <si>
    <t xml:space="preserve">D</t>
  </si>
  <si>
    <t xml:space="preserve">DRIVE, CRANK, GENERATOR &amp; GUARDING</t>
  </si>
  <si>
    <t xml:space="preserve">D1</t>
  </si>
  <si>
    <t xml:space="preserve">Hub motor used as PMSG</t>
  </si>
  <si>
    <t xml:space="preserve">6.5in hoverboard hub motor, 36 V 250 W class</t>
  </si>
  <si>
    <t xml:space="preserve">Monster Scooter Parts</t>
  </si>
  <si>
    <t xml:space="preserve">kV ~13.4 rpm/V from vehicle data - very low kV is exactly what a slow charger needs. AliExpress ~USD70 alternative.</t>
  </si>
  <si>
    <t xml:space="preserve">D2</t>
  </si>
  <si>
    <t xml:space="preserve">Hand crank arm</t>
  </si>
  <si>
    <t xml:space="preserve">150 mm, rotating knob, d8 bore</t>
  </si>
  <si>
    <t xml:space="preserve">150 mm x 16 N of hand force = 2.4 N.m, the design point.</t>
  </si>
  <si>
    <t xml:space="preserve">D3</t>
  </si>
  <si>
    <t xml:space="preserve">Pillow block bearing</t>
  </si>
  <si>
    <t xml:space="preserve">KFL08 flange, d8</t>
  </si>
  <si>
    <t xml:space="preserve">Carries crank side load off the printed plate.</t>
  </si>
  <si>
    <t xml:space="preserve">D4</t>
  </si>
  <si>
    <t xml:space="preserve">Flexible jaw coupling</t>
  </si>
  <si>
    <t xml:space="preserve">8 mm - 8 mm, backlash-free</t>
  </si>
  <si>
    <t xml:space="preserve">Isolates shaft misalignment from the air gap.</t>
  </si>
  <si>
    <t xml:space="preserve">D5</t>
  </si>
  <si>
    <t xml:space="preserve">Aluminium extrusion</t>
  </si>
  <si>
    <t xml:space="preserve">2020 T-slot, 1 m</t>
  </si>
  <si>
    <t xml:space="preserve">Bench frame.</t>
  </si>
  <si>
    <t xml:space="preserve">D6</t>
  </si>
  <si>
    <t xml:space="preserve">Bracket + T-nut set</t>
  </si>
  <si>
    <t xml:space="preserve">2020 corner brackets, M5</t>
  </si>
  <si>
    <t xml:space="preserve">D7</t>
  </si>
  <si>
    <t xml:space="preserve">Polycarbonate sheet</t>
  </si>
  <si>
    <t xml:space="preserve">3 mm, 300 x 300, burst shroud window</t>
  </si>
  <si>
    <t xml:space="preserve">plastics supplier</t>
  </si>
  <si>
    <t xml:space="preserve">PC, not acrylic. Acrylic shatters.</t>
  </si>
  <si>
    <t xml:space="preserve">D8</t>
  </si>
  <si>
    <t xml:space="preserve">Shroud position switch</t>
  </si>
  <si>
    <t xml:space="preserve">SPDT roller lever, NC wiring</t>
  </si>
  <si>
    <t xml:space="preserve">Wires into the SAFE-01 enclosure interlock (issue #14 canonical).</t>
  </si>
  <si>
    <t xml:space="preserve">D9</t>
  </si>
  <si>
    <t xml:space="preserve">Baseboard</t>
  </si>
  <si>
    <t xml:space="preserve">18 mm ply, 400 x 300</t>
  </si>
  <si>
    <t xml:space="preserve">E</t>
  </si>
  <si>
    <t xml:space="preserve">ENERGY TRANSFORMER - POWER CONVERSION CHAIN</t>
  </si>
  <si>
    <t xml:space="preserve">E1</t>
  </si>
  <si>
    <t xml:space="preserve">Schottky rectifier diode</t>
  </si>
  <si>
    <t xml:space="preserve">MBR20100CT TO-220, 3-phase bridge</t>
  </si>
  <si>
    <t xml:space="preserve">Mouser/DigiKey</t>
  </si>
  <si>
    <t xml:space="preserve">Tier A bridge. At ~30 V bus the 2 x 0.4 V drop costs only ~3%.</t>
  </si>
  <si>
    <t xml:space="preserve">E2</t>
  </si>
  <si>
    <t xml:space="preserve">Heatsink + insulator kit</t>
  </si>
  <si>
    <t xml:space="preserve">TO-220, 6 off</t>
  </si>
  <si>
    <t xml:space="preserve">E3</t>
  </si>
  <si>
    <t xml:space="preserve">Ideal-diode bridge controller</t>
  </si>
  <si>
    <t xml:space="preserve">LT4320IDD-1, 3 off for 3-phase</t>
  </si>
  <si>
    <t xml:space="preserve">Analog Devices</t>
  </si>
  <si>
    <t xml:space="preserve">Tier B upgrade. ~99.5% vs ~84% for a diode bridge at low line voltage. Only worth it if the bus falls below ~10 V.</t>
  </si>
  <si>
    <t xml:space="preserve">E4</t>
  </si>
  <si>
    <t xml:space="preserve">N-channel MOSFET</t>
  </si>
  <si>
    <t xml:space="preserve">40 V logic-level, low Rds(on), for E3</t>
  </si>
  <si>
    <t xml:space="preserve">E5</t>
  </si>
  <si>
    <t xml:space="preserve">Bulk electrolytic capacitor</t>
  </si>
  <si>
    <t xml:space="preserve">470 uF 63 V, low ESR</t>
  </si>
  <si>
    <t xml:space="preserve">Ripple smoothing only. NOT an energy sink - see E13.</t>
  </si>
  <si>
    <t xml:space="preserve">E6</t>
  </si>
  <si>
    <t xml:space="preserve">Transient clamp</t>
  </si>
  <si>
    <t xml:space="preserve">SMBJ33A TVS + MOV</t>
  </si>
  <si>
    <t xml:space="preserve">Crank stalls and rotor slip make fast dV/dt events.</t>
  </si>
  <si>
    <t xml:space="preserve">E7</t>
  </si>
  <si>
    <t xml:space="preserve">Buck-boost charge controller</t>
  </si>
  <si>
    <t xml:space="preserve">LTC4020EUHF, 4.5-55 V in, up to 55 V out</t>
  </si>
  <si>
    <t xml:space="preserve">Tier B designed board. USD6.79 at 1ku list.</t>
  </si>
  <si>
    <t xml:space="preserve">E8</t>
  </si>
  <si>
    <t xml:space="preserve">Buck-boost MPPT charge module</t>
  </si>
  <si>
    <t xml:space="preserve">DC 8-60 V in, CC/CV out, adjustable</t>
  </si>
  <si>
    <t xml:space="preserve">generic module</t>
  </si>
  <si>
    <t xml:space="preserve">Tier A. Buy this first; design E7 only after Gate 3.</t>
  </si>
  <si>
    <t xml:space="preserve">E9</t>
  </si>
  <si>
    <t xml:space="preserve">LiFePO4 buffer pack</t>
  </si>
  <si>
    <t xml:space="preserve">4S1P 18650/26650, 12.8 V 3 Ah, ~38 Wh</t>
  </si>
  <si>
    <t xml:space="preserve">MANDATORY, not optional. A phone will not negotiate charge from a fluctuating hand-crank source. The cell decouples them.</t>
  </si>
  <si>
    <t xml:space="preserve">E10</t>
  </si>
  <si>
    <t xml:space="preserve">BMS</t>
  </si>
  <si>
    <t xml:space="preserve">4S LiFePO4, 20 A, balance + protect</t>
  </si>
  <si>
    <t xml:space="preserve">E11</t>
  </si>
  <si>
    <t xml:space="preserve">USB-PD source board</t>
  </si>
  <si>
    <t xml:space="preserve">12 V in, 20-45 W PD 3.0 out, USB-C</t>
  </si>
  <si>
    <t xml:space="preserve">A PD SOURCE, not a 'trigger'/'decoy' sink board. Those are the opposite direction.</t>
  </si>
  <si>
    <t xml:space="preserve">E12</t>
  </si>
  <si>
    <t xml:space="preserve">Panel volt/amp meter</t>
  </si>
  <si>
    <t xml:space="preserve">0-100 V / 0-10 A, bus monitor</t>
  </si>
  <si>
    <t xml:space="preserve">E13</t>
  </si>
  <si>
    <t xml:space="preserve">Dump / brake resistor</t>
  </si>
  <si>
    <t xml:space="preserve">10 ohm 50 W, chassis mount</t>
  </si>
  <si>
    <t xml:space="preserve">Regen pushes the bus ABOVE nominal. The capacitor bank is not a sink.</t>
  </si>
  <si>
    <t xml:space="preserve">E14</t>
  </si>
  <si>
    <t xml:space="preserve">Dump chopper</t>
  </si>
  <si>
    <t xml:space="preserve">N-FET + comparator + gate resistor</t>
  </si>
  <si>
    <t xml:space="preserve">E15</t>
  </si>
  <si>
    <t xml:space="preserve">Fuse holder + fuse</t>
  </si>
  <si>
    <t xml:space="preserve">inline blade, 10 A</t>
  </si>
  <si>
    <t xml:space="preserve">At the +ve terminal, per the existing build gate.</t>
  </si>
  <si>
    <t xml:space="preserve">E16</t>
  </si>
  <si>
    <t xml:space="preserve">Reverse-block diode</t>
  </si>
  <si>
    <t xml:space="preserve">Schottky 60 V 5 A, buffer isolation</t>
  </si>
  <si>
    <t xml:space="preserve">E17</t>
  </si>
  <si>
    <t xml:space="preserve">Connector set</t>
  </si>
  <si>
    <t xml:space="preserve">XT60 pair + Anderson PP15</t>
  </si>
  <si>
    <t xml:space="preserve">E18</t>
  </si>
  <si>
    <t xml:space="preserve">Silicone wire + heatshrink</t>
  </si>
  <si>
    <t xml:space="preserve">18 AWG, 5 m, assorted shrink</t>
  </si>
  <si>
    <t xml:space="preserve">E19</t>
  </si>
  <si>
    <t xml:space="preserve">Enclosure</t>
  </si>
  <si>
    <t xml:space="preserve">ABS 200 x 120 x 75, IP54</t>
  </si>
  <si>
    <t xml:space="preserve">E20</t>
  </si>
  <si>
    <t xml:space="preserve">PCB</t>
  </si>
  <si>
    <t xml:space="preserve">2-layer, 100 x 80, 5 off</t>
  </si>
  <si>
    <t xml:space="preserve">JLCPCB/PCBWay</t>
  </si>
  <si>
    <t xml:space="preserve">E21</t>
  </si>
  <si>
    <t xml:space="preserve">Mode switch</t>
  </si>
  <si>
    <t xml:space="preserve">3-position: OFF / CHARGE / LOAD</t>
  </si>
  <si>
    <t xml:space="preserve">E22</t>
  </si>
  <si>
    <t xml:space="preserve">Pack thermistor</t>
  </si>
  <si>
    <t xml:space="preserve">10k NTC, bonded to the buffer pack</t>
  </si>
  <si>
    <t xml:space="preserve">F</t>
  </si>
  <si>
    <t xml:space="preserve">INSTRUMENTATION  (Gates 1-4, three-port energy balance)</t>
  </si>
  <si>
    <t xml:space="preserve">F1</t>
  </si>
  <si>
    <t xml:space="preserve">Load cell</t>
  </si>
  <si>
    <t xml:space="preserve">5 kg straight bar + HX711 amplifier</t>
  </si>
  <si>
    <t xml:space="preserve">INST</t>
  </si>
  <si>
    <t xml:space="preserve">Reaction-arm and torque-arm method. tau = F x r.</t>
  </si>
  <si>
    <t xml:space="preserve">F2</t>
  </si>
  <si>
    <t xml:space="preserve">Inline rotary torque sensor</t>
  </si>
  <si>
    <t xml:space="preserve">0-5 N.m, +/-0.5% FS</t>
  </si>
  <si>
    <t xml:space="preserve">instrument supplier</t>
  </si>
  <si>
    <t xml:space="preserve">The correct instrument, and the single biggest cost in the programme. Start with F1 and upgrade at Gate 3.</t>
  </si>
  <si>
    <t xml:space="preserve">F3</t>
  </si>
  <si>
    <t xml:space="preserve">Magnetic rotary encoder</t>
  </si>
  <si>
    <t xml:space="preserve">AS5047P breakout, SPI</t>
  </si>
  <si>
    <t xml:space="preserve">Slip observer: compare w_ls against w_hs / 4.5.</t>
  </si>
  <si>
    <t xml:space="preserve">F4</t>
  </si>
  <si>
    <t xml:space="preserve">Current sense amplifier</t>
  </si>
  <si>
    <t xml:space="preserve">INA240A2 breakout</t>
  </si>
  <si>
    <t xml:space="preserve">F5</t>
  </si>
  <si>
    <t xml:space="preserve">Thermistor</t>
  </si>
  <si>
    <t xml:space="preserve">10k NTC on an outer M8 bolt head</t>
  </si>
  <si>
    <t xml:space="preserve">T_mod is a real logged channel, and the eddy-heating witness.</t>
  </si>
  <si>
    <t xml:space="preserve">F6</t>
  </si>
  <si>
    <t xml:space="preserve">MCU board</t>
  </si>
  <si>
    <t xml:space="preserve">STM32G474 - EXISTING CBJG hardware</t>
  </si>
  <si>
    <t xml:space="preserve">already owned</t>
  </si>
  <si>
    <t xml:space="preserve">Reuse, do not redesign. No new silicon required.</t>
  </si>
  <si>
    <t xml:space="preserve">F7</t>
  </si>
  <si>
    <t xml:space="preserve">SD logging module</t>
  </si>
  <si>
    <t xml:space="preserve">SPI, 10 kHz sample target</t>
  </si>
  <si>
    <t xml:space="preserve">F8</t>
  </si>
  <si>
    <t xml:space="preserve">Dead-weight calibration set</t>
  </si>
  <si>
    <t xml:space="preserve">0.5 / 1 / 2 kg, class M1</t>
  </si>
  <si>
    <t xml:space="preserve">Both cells calibrated against the SAME reference, then SWAPPED between ports at Gate 4.</t>
  </si>
  <si>
    <t xml:space="preserve">F9</t>
  </si>
  <si>
    <t xml:space="preserve">Optical tachometer</t>
  </si>
  <si>
    <t xml:space="preserve">photo-interrupter + slotted disc</t>
  </si>
  <si>
    <t xml:space="preserve">Independent speed check on the encoders.</t>
  </si>
  <si>
    <t xml:space="preserve">G</t>
  </si>
  <si>
    <t xml:space="preserve">CONSUMABLES, TOOLING &amp; SAFETY</t>
  </si>
  <si>
    <t xml:space="preserve">G1</t>
  </si>
  <si>
    <t xml:space="preserve">PETG filament</t>
  </si>
  <si>
    <t xml:space="preserve">1 kg spool</t>
  </si>
  <si>
    <t xml:space="preserve">~900 g of parts. Budget for reprints - you will reprint.</t>
  </si>
  <si>
    <t xml:space="preserve">G2</t>
  </si>
  <si>
    <t xml:space="preserve">ASA filament</t>
  </si>
  <si>
    <t xml:space="preserve">If ambient or modulator temperature exceeds PETG's comfort band.</t>
  </si>
  <si>
    <t xml:space="preserve">G3</t>
  </si>
  <si>
    <t xml:space="preserve">Magnetic pole probe</t>
  </si>
  <si>
    <t xml:space="preserve">Mark II Magnaprobe</t>
  </si>
  <si>
    <t xml:space="preserve">Indigo Instruments</t>
  </si>
  <si>
    <t xml:space="preserve">Confirms every block's polarity before bonding. The #1 build failure is one reversed block.</t>
  </si>
  <si>
    <t xml:space="preserve">G4</t>
  </si>
  <si>
    <t xml:space="preserve">Hall probe module</t>
  </si>
  <si>
    <t xml:space="preserve">A1302 / A1324 breakout</t>
  </si>
  <si>
    <t xml:space="preserve">Quantitative check to back up the probe.</t>
  </si>
  <si>
    <t xml:space="preserve">G5</t>
  </si>
  <si>
    <t xml:space="preserve">Torque wrench</t>
  </si>
  <si>
    <t xml:space="preserve">1-6 N.m, 1/4in drive</t>
  </si>
  <si>
    <t xml:space="preserve">Modulator bolts go to SNUG only - the plate is plastic.</t>
  </si>
  <si>
    <t xml:space="preserve">G6</t>
  </si>
  <si>
    <t xml:space="preserve">Feeler gauge set</t>
  </si>
  <si>
    <t xml:space="preserve">0.02-1.00 mm</t>
  </si>
  <si>
    <t xml:space="preserve">Air-gap verification at four points per gap.</t>
  </si>
  <si>
    <t xml:space="preserve">G7</t>
  </si>
  <si>
    <t xml:space="preserve">Torque arm / breakaway wrench</t>
  </si>
  <si>
    <t xml:space="preserve">0-5 N.m dial, Gate 1 static pull-out</t>
  </si>
  <si>
    <t xml:space="preserve">Gate 1: measure breakaway torque and angle, 10 repeats.</t>
  </si>
  <si>
    <t xml:space="preserve">G8</t>
  </si>
  <si>
    <t xml:space="preserve">Threaded rod, long</t>
  </si>
  <si>
    <t xml:space="preserve">M5 x 300, 4 off, assembly jig</t>
  </si>
  <si>
    <t xml:space="preserve">Diagonal pairs, a quarter turn at a time. An unrestrained rotor free-flies.</t>
  </si>
  <si>
    <t xml:space="preserve">G9</t>
  </si>
  <si>
    <t xml:space="preserve">Threadlocker</t>
  </si>
  <si>
    <t xml:space="preserve">Loctite 243, 10 ml</t>
  </si>
  <si>
    <t xml:space="preserve">G10</t>
  </si>
  <si>
    <t xml:space="preserve">IR thermometer</t>
  </si>
  <si>
    <t xml:space="preserve">-50 to 380 C</t>
  </si>
  <si>
    <t xml:space="preserve">Frame temperature exit criterion is &lt; 50 C.</t>
  </si>
  <si>
    <t xml:space="preserve">G11</t>
  </si>
  <si>
    <t xml:space="preserve">PPE</t>
  </si>
  <si>
    <t xml:space="preserve">safety glasses + nitrile gloves</t>
  </si>
  <si>
    <t xml:space="preserve">Neodymium chips are sharp and the dust is flammable.</t>
  </si>
  <si>
    <t xml:space="preserve">G12</t>
  </si>
  <si>
    <t xml:space="preserve">Ferrofluid, QC use only</t>
  </si>
  <si>
    <t xml:space="preserve">EFH1 class, 10 ml</t>
  </si>
  <si>
    <t xml:space="preserve">Ferrotec / educational</t>
  </si>
  <si>
    <t xml:space="preserve">Polarity MAPPING, never in the gap. A thin film on a PET transparency over the assembled rotor face images all 20 (HS) or 18 (LS) poles at once; a reversed block breaks the alternation visibly. Per MG-3: do NOT flood the air gaps.</t>
  </si>
  <si>
    <t xml:space="preserve">COST ROLL-UP</t>
  </si>
  <si>
    <t xml:space="preserve">Assumptions</t>
  </si>
  <si>
    <t xml:space="preserve">Filament rate</t>
  </si>
  <si>
    <t xml:space="preserve">$/kg</t>
  </si>
  <si>
    <t xml:space="preserve">PETG, 1 kg spool. Drives every printed-part unit cost.</t>
  </si>
  <si>
    <t xml:space="preserve">Freight</t>
  </si>
  <si>
    <t xml:space="preserve">% of subtotal</t>
  </si>
  <si>
    <t xml:space="preserve">Many small suppliers; assume 8%.</t>
  </si>
  <si>
    <t xml:space="preserve">Sales tax</t>
  </si>
  <si>
    <t xml:space="preserve">TX combined rate assumed - VERIFY for your address.</t>
  </si>
  <si>
    <t xml:space="preserve">Contingency</t>
  </si>
  <si>
    <t xml:space="preserve">Reprints, one cooked module, a shorted FET.</t>
  </si>
  <si>
    <t xml:space="preserve">EUR to USD</t>
  </si>
  <si>
    <t xml:space="preserve">rate</t>
  </si>
  <si>
    <t xml:space="preserve">Used for the supermagnete magnet price.</t>
  </si>
  <si>
    <t xml:space="preserve">Subtotal by section</t>
  </si>
  <si>
    <t xml:space="preserve">A  PRINTED PARTS  (PETG or ASA - never PLA)</t>
  </si>
  <si>
    <t xml:space="preserve">B  MAGNETS &amp; BONDING</t>
  </si>
  <si>
    <t xml:space="preserve">C  GAP-CRITICAL METAL, FASTENERS &amp; SHAFTING</t>
  </si>
  <si>
    <t xml:space="preserve">D  DRIVE, CRANK, GENERATOR &amp; GUARDING</t>
  </si>
  <si>
    <t xml:space="preserve">E  ENERGY TRANSFORMER - POWER CONVERSION CHAIN</t>
  </si>
  <si>
    <t xml:space="preserve">F  INSTRUMENTATION  (Gates 1-4, three-port energy balance)</t>
  </si>
  <si>
    <t xml:space="preserve">G  CONSUMABLES, TOOLING &amp; SAFETY</t>
  </si>
  <si>
    <t xml:space="preserve">ALL LINE ITEMS</t>
  </si>
  <si>
    <t xml:space="preserve">Scope</t>
  </si>
  <si>
    <t xml:space="preserve">Hardware subtotal</t>
  </si>
  <si>
    <t xml:space="preserve">+ freight &amp; tax</t>
  </si>
  <si>
    <t xml:space="preserve">+ contingency</t>
  </si>
  <si>
    <t xml:space="preserve">DELIVERED TOTAL</t>
  </si>
  <si>
    <t xml:space="preserve">What you get</t>
  </si>
  <si>
    <t xml:space="preserve">1</t>
  </si>
  <si>
    <t xml:space="preserve">CHARGER</t>
  </si>
  <si>
    <t xml:space="preserve">Working charger: prints, magnets, metal stack, generator, crank, guarding, power chain, core tooling.</t>
  </si>
  <si>
    <t xml:space="preserve">2</t>
  </si>
  <si>
    <t xml:space="preserve">INSTRUMENTED</t>
  </si>
  <si>
    <t xml:space="preserve">Adds three-port sensing, encoders, logging and dead-weight calibration - Gates 1-4 become runnable.</t>
  </si>
  <si>
    <t xml:space="preserve">3</t>
  </si>
  <si>
    <t xml:space="preserve">FULL RESEARCH</t>
  </si>
  <si>
    <t xml:space="preserve">Adds V2/V3 pole-piece sweep, the LTC4020/LT4320 designed board, and rotary torque sensors.</t>
  </si>
  <si>
    <t xml:space="preserve">Note</t>
  </si>
  <si>
    <t xml:space="preserve">Tier 3 is dominated by ONE line: F2, the pair of rotary torque sensors. Start on Tier 2 load cells, upgrade at Gate 3 only if the load-cell uncertainty band is too wide to close the energy balance.</t>
  </si>
  <si>
    <t xml:space="preserve">ENERGY BUDGET  -  live model</t>
  </si>
  <si>
    <t xml:space="preserve">Change the blue input cells. Everything else is a formula. No hardcoded results.</t>
  </si>
  <si>
    <t xml:space="preserve">Inputs</t>
  </si>
  <si>
    <t xml:space="preserve">Crank torque at LS port</t>
  </si>
  <si>
    <t xml:space="preserve">N.m</t>
  </si>
  <si>
    <t xml:space="preserve">Design point. 150 mm crank arm x ~16 N of hand force.</t>
  </si>
  <si>
    <t xml:space="preserve">Crank speed at LS port</t>
  </si>
  <si>
    <t xml:space="preserve">rpm</t>
  </si>
  <si>
    <t xml:space="preserve">Comfortable sustained one-hand cranking band is 60-120 rpm.</t>
  </si>
  <si>
    <t xml:space="preserve">Gear ratio |G|</t>
  </si>
  <si>
    <t xml:space="preserve">-</t>
  </si>
  <si>
    <t xml:space="preserve">p_out/p_in = 9/2. Counter-rotating.</t>
  </si>
  <si>
    <t xml:space="preserve">Generator kV</t>
  </si>
  <si>
    <t xml:space="preserve">rpm/V</t>
  </si>
  <si>
    <t xml:space="preserve">6.5in hub motor, derived from 165 mm wheel at ~15 km/h on 36 V.</t>
  </si>
  <si>
    <t xml:space="preserve">MG-1 LS pull-out, low</t>
  </si>
  <si>
    <t xml:space="preserve">12 N.m/L on 0.150 L active volume.</t>
  </si>
  <si>
    <t xml:space="preserve">MG-1 LS pull-out, high</t>
  </si>
  <si>
    <t xml:space="preserve">20 N.m/L on 0.150 L active volume.</t>
  </si>
  <si>
    <t xml:space="preserve">Derived operating point</t>
  </si>
  <si>
    <t xml:space="preserve">LS angular velocity</t>
  </si>
  <si>
    <t xml:space="preserve">rad/s</t>
  </si>
  <si>
    <t xml:space="preserve">Mechanical input power</t>
  </si>
  <si>
    <t xml:space="preserve">W</t>
  </si>
  <si>
    <t xml:space="preserve">tau x omega at the crank. THIS is the ceiling, not the operator.</t>
  </si>
  <si>
    <t xml:space="preserve">HS shaft speed</t>
  </si>
  <si>
    <t xml:space="preserve">Into the generator.</t>
  </si>
  <si>
    <t xml:space="preserve">HS shaft torque</t>
  </si>
  <si>
    <t xml:space="preserve">Generator line back-EMF</t>
  </si>
  <si>
    <t xml:space="preserve">V</t>
  </si>
  <si>
    <t xml:space="preserve">Sets the rectifier and buck-boost input window.</t>
  </si>
  <si>
    <t xml:space="preserve">Modulator field frequency</t>
  </si>
  <si>
    <t xml:space="preserve">Hz</t>
  </si>
  <si>
    <t xml:space="preserve">550 Hz at 3000 rpm HS scales linearly with speed.</t>
  </si>
  <si>
    <t xml:space="preserve">Eddy loss vs rated speed</t>
  </si>
  <si>
    <t xml:space="preserve">x</t>
  </si>
  <si>
    <t xml:space="preserve">Loss scales as f^2 - the charger runs in the gear's best loss regime.</t>
  </si>
  <si>
    <t xml:space="preserve">Conversion chain</t>
  </si>
  <si>
    <t xml:space="preserve">Stage</t>
  </si>
  <si>
    <t xml:space="preserve">Efficiency</t>
  </si>
  <si>
    <t xml:space="preserve">Loss (W)</t>
  </si>
  <si>
    <t xml:space="preserve">Power out (W)</t>
  </si>
  <si>
    <t xml:space="preserve">Why this number</t>
  </si>
  <si>
    <t xml:space="preserve">Magnetic gear MG-1, V1 solid bolts</t>
  </si>
  <si>
    <t xml:space="preserve">At 90 rpm crank the modulator field is only ~74 Hz. Eddy loss scales as f^2, so it is ~1.8% of the rated-speed figure. Bearing and magnet drag dominate here.</t>
  </si>
  <si>
    <t xml:space="preserve">Hub motor as PMSG at ~405 rpm</t>
  </si>
  <si>
    <t xml:space="preserve">Copper-loss dominated at low speed: back-EMF is small relative to winding resistance. This is the worst stage in the chain.</t>
  </si>
  <si>
    <t xml:space="preserve">3-phase Schottky bridge, ~30 V bus</t>
  </si>
  <si>
    <t xml:space="preserve">2 x 0.4 V drop on a 30 V bus. Swap to LT4320 ideal-diode bridge only if the bus falls below ~10 V.</t>
  </si>
  <si>
    <t xml:space="preserve">MPPT-style CC/CV into the buffer pack. Module (Tier A) or LTC4020 board (Tier B).</t>
  </si>
  <si>
    <t xml:space="preserve">LiFePO4 buffer pack round trip</t>
  </si>
  <si>
    <t xml:space="preserve">The cost of decoupling an intermittent source from a device that demands a stable one. Not optional.</t>
  </si>
  <si>
    <t xml:space="preserve">USB-PD source stage</t>
  </si>
  <si>
    <t xml:space="preserve">12.8 V pack to 5/9/12 V PD. A real PD source, not a trigger board.</t>
  </si>
  <si>
    <t xml:space="preserve">OVERALL</t>
  </si>
  <si>
    <t xml:space="preserve">Watts delivered at the USB-C port.</t>
  </si>
  <si>
    <t xml:space="preserve">What that actually charges</t>
  </si>
  <si>
    <t xml:space="preserve">Device</t>
  </si>
  <si>
    <t xml:space="preserve">Capacity (Wh)</t>
  </si>
  <si>
    <t xml:space="preserve">Cranking hours</t>
  </si>
  <si>
    <t xml:space="preserve">Phone, 4000 mAh at 3.85 V</t>
  </si>
  <si>
    <t xml:space="preserve">Tablet</t>
  </si>
  <si>
    <t xml:space="preserve">20 000 mAh power bank</t>
  </si>
  <si>
    <t xml:space="preserve">Laptop, small</t>
  </si>
  <si>
    <t xml:space="preserve">Output band at the pull-out limits</t>
  </si>
  <si>
    <t xml:space="preserve">At LS pull-out low</t>
  </si>
  <si>
    <t xml:space="preserve">Mechanical W in (col C) -&gt; USB W out (col D). Exceed pull-out and the gear simply slips - it cannot shear a tooth.</t>
  </si>
  <si>
    <t xml:space="preserve">At LS pull-out high</t>
  </si>
  <si>
    <t xml:space="preserve">Scaling: torque is proportional to active volume at 12-20 N.m/L</t>
  </si>
  <si>
    <t xml:space="preserve">Active volume (L)</t>
  </si>
  <si>
    <t xml:space="preserve">LS torque low (N.m)</t>
  </si>
  <si>
    <t xml:space="preserve">LS torque high (N.m)</t>
  </si>
  <si>
    <t xml:space="preserve">Mech W at set rpm, low</t>
  </si>
  <si>
    <t xml:space="preserve">Mech W high</t>
  </si>
  <si>
    <t xml:space="preserve">0.150 L is MG-1 as drawn. Want 50 W at the port? That needs roughly a 0.4-0.5 L active volume, i.e. a physically larger gear - not a better winding.</t>
  </si>
  <si>
    <t xml:space="preserve">SOURCES</t>
  </si>
  <si>
    <t xml:space="preserve">Researched lines only. Unsourced prices are engineering estimates and are labelled as such.</t>
  </si>
  <si>
    <t xml:space="preserve">BOM ref / claim</t>
  </si>
  <si>
    <t xml:space="preserve">Source</t>
  </si>
  <si>
    <t xml:space="preserve">URL</t>
  </si>
  <si>
    <t xml:space="preserve">B1 magnet price and spec</t>
  </si>
  <si>
    <t xml:space="preserve">supermagnete Q-20-10-05-N, N42 20x10x5, EUR1.26 ea from 40 pcs</t>
  </si>
  <si>
    <t xml:space="preserve">https://www.supermagnete.de/eng/block-magnets-neodymium/block-magnet-20mm-10mm-5mm_Q-20-10-05-N</t>
  </si>
  <si>
    <t xml:space="preserve">C6 bearing price</t>
  </si>
  <si>
    <t xml:space="preserve">NSK 608ZZ 10-pack, USD20.65 (USD2.07 ea), Amazon</t>
  </si>
  <si>
    <t xml:space="preserve">https://www.amazon.com/dp/B07P4NQZ8Q</t>
  </si>
  <si>
    <t xml:space="preserve">D1 hub motor price</t>
  </si>
  <si>
    <t xml:space="preserve">Hub motor for 6.5in hoverboards, USD106.99, Monster Scooter Parts</t>
  </si>
  <si>
    <t xml:space="preserve">https://monsterscooterparts.com/products/hub-motor-for-self-balancing-hoverboards-with-6-5-tires</t>
  </si>
  <si>
    <t xml:space="preserve">E3 LT4320 price + spec</t>
  </si>
  <si>
    <t xml:space="preserve">Analog Devices LT4320 ideal diode bridge controller, from USD4.07 at 1ku</t>
  </si>
  <si>
    <t xml:space="preserve">https://www.analog.com/en/products/lt4320.html</t>
  </si>
  <si>
    <t xml:space="preserve">E3 bridge efficiency</t>
  </si>
  <si>
    <t xml:space="preserve">LT4320 3-phase demo: 84% for a diode bridge vs 97% for the ideal diode bridge at 5 VAC L-N, 25 A</t>
  </si>
  <si>
    <t xml:space="preserve">https://www.analog.com/media/en/technical-documentation/user-guides/dc2465af.pdf</t>
  </si>
  <si>
    <t xml:space="preserve">E7 LTC4020 price + spec</t>
  </si>
  <si>
    <t xml:space="preserve">Analog Devices LTC4020, 4.5-55 V in, buck-boost multi-chemistry charger, from USD6.79 at 1ku</t>
  </si>
  <si>
    <t xml:space="preserve">https://www.analog.com/en/products/ltc4020.html</t>
  </si>
  <si>
    <t xml:space="preserve">Human input power</t>
  </si>
  <si>
    <t xml:space="preserve">Jansen &amp; Slob, 'Human power: comfortable one-hand cranking', ICED 2003 - sustained 54 +/- 14 W</t>
  </si>
  <si>
    <t xml:space="preserve">https://www.designsociety.org/download-publication/23972/human_power_comfortable_one-_hand_cranking</t>
  </si>
  <si>
    <t xml:space="preserve">G3 polarity probe</t>
  </si>
  <si>
    <t xml:space="preserve">Indigo Instruments Mark II Magnaprobe - confirms magnets are positioned with poles pointing correctly</t>
  </si>
  <si>
    <t xml:space="preserve">https://www.indigoinstruments.com/magnets/rare_earth/blocks/ndfeb-block-magnet-20x10x5mm-44251-5.html</t>
  </si>
  <si>
    <t xml:space="preserve">Torque density basis</t>
  </si>
  <si>
    <t xml:space="preserve">Sheffield PDD thesis: PDD 60-90 N.m/L air-cooled vs 10-30 for conventional PM machines</t>
  </si>
  <si>
    <t xml:space="preserve">https://etheses.whiterose.ac.uk/id/eprint/24379/1/PhD_Main_DOC_v64_Final_with_Appendix_corrected.pdf</t>
  </si>
  <si>
    <t xml:space="preserve">Gear topology</t>
  </si>
  <si>
    <t xml:space="preserve">Atallah &amp; Howe, flux-modulated magnetic gear, J. Magn. Magn. Mater.</t>
  </si>
  <si>
    <t xml:space="preserve">https://www.sciencedirect.com/science/article/abs/pii/S0304885303022182</t>
  </si>
  <si>
    <t xml:space="preserve">Torque-fuse precedent</t>
  </si>
  <si>
    <t xml:space="preserve">Magnomatics Pseudo Direct Drive - inherent torque limit, &lt;60% size/mass of a PM machine</t>
  </si>
  <si>
    <t xml:space="preserve">https://www.magnomatics.com/technology/pseudo-direct-drive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</si>
</sst>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#,##0.00"/>
    <numFmt numFmtId="168" formatCode="#,##0"/>
    <numFmt numFmtId="169" formatCode="#,##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30"/>
      <name val="Calibri"/>
      <family val="0"/>
      <charset val="1"/>
    </font>
    <font>
      <sz val="11"/>
      <color rgb="FF7A7974"/>
      <name val="Calibri"/>
      <family val="0"/>
      <charset val="1"/>
    </font>
    <font>
      <b val="true"/>
      <sz val="10"/>
      <color rgb="FF1B474D"/>
      <name val="Calibri"/>
      <family val="0"/>
      <charset val="1"/>
    </font>
    <font>
      <sz val="10"/>
      <color rgb="FF1F2430"/>
      <name val="Calibri"/>
      <family val="0"/>
      <charset val="1"/>
    </font>
    <font>
      <b val="true"/>
      <sz val="14"/>
      <color rgb="FF1F2430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2430"/>
      <name val="Calibri"/>
      <family val="0"/>
      <charset val="1"/>
    </font>
    <font>
      <b val="true"/>
      <sz val="9"/>
      <color rgb="FF1F2430"/>
      <name val="Calibri"/>
      <family val="0"/>
      <charset val="1"/>
    </font>
    <font>
      <b val="true"/>
      <sz val="9"/>
      <color rgb="FFA84B2F"/>
      <name val="Calibri"/>
      <family val="0"/>
      <charset val="1"/>
    </font>
    <font>
      <b val="true"/>
      <sz val="9"/>
      <color rgb="FF20808D"/>
      <name val="Calibri"/>
      <family val="0"/>
      <charset val="1"/>
    </font>
    <font>
      <b val="true"/>
      <sz val="11"/>
      <color rgb="FF1B474D"/>
      <name val="Calibri"/>
      <family val="0"/>
      <charset val="1"/>
    </font>
    <font>
      <b val="true"/>
      <sz val="10"/>
      <color rgb="FF1F2430"/>
      <name val="Calibri"/>
      <family val="0"/>
      <charset val="1"/>
    </font>
    <font>
      <sz val="9"/>
      <color rgb="FF7A7974"/>
      <name val="Calibri"/>
      <family val="0"/>
      <charset val="1"/>
    </font>
    <font>
      <b val="true"/>
      <sz val="10"/>
      <color rgb="FF20808D"/>
      <name val="Calibri"/>
      <family val="0"/>
      <charset val="1"/>
    </font>
    <font>
      <b val="true"/>
      <sz val="10"/>
      <color rgb="FFA84B2F"/>
      <name val="Calibri"/>
      <family val="0"/>
      <charset val="1"/>
    </font>
    <font>
      <sz val="9"/>
      <color rgb="FFA84B2F"/>
      <name val="Calibri"/>
      <family val="0"/>
      <charset val="1"/>
    </font>
    <font>
      <b val="true"/>
      <sz val="11"/>
      <color rgb="FFA84B2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9"/>
      <color rgb="FF20808D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474D"/>
        <bgColor rgb="FF1F2430"/>
      </patternFill>
    </fill>
    <fill>
      <patternFill patternType="solid">
        <fgColor rgb="FF20808D"/>
        <bgColor rgb="FF008080"/>
      </patternFill>
    </fill>
    <fill>
      <patternFill patternType="solid">
        <fgColor rgb="FFF5F4F0"/>
        <bgColor rgb="FFEAF2F3"/>
      </patternFill>
    </fill>
    <fill>
      <patternFill patternType="solid">
        <fgColor rgb="FFEAF2F3"/>
        <bgColor rgb="FFF5F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7A7974"/>
      <rgbColor rgb="FF9999FF"/>
      <rgbColor rgb="FF993366"/>
      <rgbColor rgb="FFF5F4F0"/>
      <rgbColor rgb="FFEAF2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74D"/>
      <rgbColor rgb="FF339966"/>
      <rgbColor rgb="FF003300"/>
      <rgbColor rgb="FF333300"/>
      <rgbColor rgb="FFA84B2F"/>
      <rgbColor rgb="FF993366"/>
      <rgbColor rgb="FF333399"/>
      <rgbColor rgb="FF1F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04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s">
        <v>3</v>
      </c>
    </row>
    <row r="6" customFormat="false" ht="15" hidden="false" customHeight="true" outlineLevel="0" collapsed="false">
      <c r="B6" s="4" t="s">
        <v>4</v>
      </c>
      <c r="C6" s="5" t="s">
        <v>5</v>
      </c>
    </row>
    <row r="7" customFormat="false" ht="15" hidden="false" customHeight="true" outlineLevel="0" collapsed="false">
      <c r="B7" s="4" t="s">
        <v>6</v>
      </c>
      <c r="C7" s="5" t="s">
        <v>7</v>
      </c>
    </row>
    <row r="8" customFormat="false" ht="15" hidden="false" customHeight="true" outlineLevel="0" collapsed="false">
      <c r="B8" s="4"/>
      <c r="C8" s="5"/>
    </row>
    <row r="9" customFormat="false" ht="15" hidden="false" customHeight="true" outlineLevel="0" collapsed="false">
      <c r="B9" s="4" t="s">
        <v>8</v>
      </c>
      <c r="C9" s="5" t="s">
        <v>9</v>
      </c>
    </row>
    <row r="10" customFormat="false" ht="15" hidden="false" customHeight="true" outlineLevel="0" collapsed="false">
      <c r="B10" s="4"/>
      <c r="C10" s="5" t="s">
        <v>10</v>
      </c>
    </row>
    <row r="11" customFormat="false" ht="15" hidden="false" customHeight="true" outlineLevel="0" collapsed="false">
      <c r="B11" s="4"/>
      <c r="C11" s="5" t="s">
        <v>11</v>
      </c>
    </row>
    <row r="12" customFormat="false" ht="15" hidden="false" customHeight="true" outlineLevel="0" collapsed="false">
      <c r="B12" s="4"/>
      <c r="C12" s="5"/>
    </row>
    <row r="13" customFormat="false" ht="15" hidden="false" customHeight="true" outlineLevel="0" collapsed="false">
      <c r="B13" s="4" t="s">
        <v>12</v>
      </c>
      <c r="C13" s="5" t="s">
        <v>13</v>
      </c>
    </row>
    <row r="14" customFormat="false" ht="15" hidden="false" customHeight="true" outlineLevel="0" collapsed="false">
      <c r="B14" s="4" t="s">
        <v>14</v>
      </c>
      <c r="C14" s="5" t="s">
        <v>15</v>
      </c>
    </row>
    <row r="15" customFormat="false" ht="15" hidden="false" customHeight="true" outlineLevel="0" collapsed="false">
      <c r="B15" s="4"/>
      <c r="C15" s="5" t="s">
        <v>16</v>
      </c>
    </row>
    <row r="16" customFormat="false" ht="15" hidden="false" customHeight="true" outlineLevel="0" collapsed="false">
      <c r="B16" s="4"/>
      <c r="C16" s="5" t="s">
        <v>17</v>
      </c>
    </row>
    <row r="17" customFormat="false" ht="15" hidden="false" customHeight="true" outlineLevel="0" collapsed="false">
      <c r="B17" s="4"/>
      <c r="C17" s="5"/>
    </row>
    <row r="18" customFormat="false" ht="15" hidden="false" customHeight="true" outlineLevel="0" collapsed="false">
      <c r="B18" s="4" t="s">
        <v>18</v>
      </c>
      <c r="C18" s="5" t="s">
        <v>19</v>
      </c>
    </row>
    <row r="19" customFormat="false" ht="15" hidden="false" customHeight="true" outlineLevel="0" collapsed="false">
      <c r="B19" s="4"/>
      <c r="C19" s="5" t="s">
        <v>20</v>
      </c>
    </row>
    <row r="20" customFormat="false" ht="15" hidden="false" customHeight="true" outlineLevel="0" collapsed="false">
      <c r="B20" s="4"/>
      <c r="C20" s="5" t="s">
        <v>21</v>
      </c>
    </row>
    <row r="21" customFormat="false" ht="15" hidden="false" customHeight="true" outlineLevel="0" collapsed="false">
      <c r="B21" s="4"/>
      <c r="C21" s="5" t="s">
        <v>22</v>
      </c>
    </row>
    <row r="22" customFormat="false" ht="15" hidden="false" customHeight="true" outlineLevel="0" collapsed="false">
      <c r="B22" s="4"/>
      <c r="C22" s="5"/>
    </row>
    <row r="23" customFormat="false" ht="15" hidden="false" customHeight="true" outlineLevel="0" collapsed="false">
      <c r="B23" s="4" t="s">
        <v>23</v>
      </c>
      <c r="C23" s="5" t="s">
        <v>24</v>
      </c>
    </row>
    <row r="24" customFormat="false" ht="15" hidden="false" customHeight="true" outlineLevel="0" collapsed="false">
      <c r="B24" s="4"/>
      <c r="C24" s="5" t="s">
        <v>25</v>
      </c>
    </row>
    <row r="25" customFormat="false" ht="15" hidden="false" customHeight="true" outlineLevel="0" collapsed="false">
      <c r="B25" s="4"/>
      <c r="C25" s="5" t="s">
        <v>26</v>
      </c>
    </row>
    <row r="26" customFormat="false" ht="15" hidden="false" customHeight="true" outlineLevel="0" collapsed="false">
      <c r="B26" s="4"/>
      <c r="C26" s="5"/>
    </row>
    <row r="27" customFormat="false" ht="15" hidden="false" customHeight="true" outlineLevel="0" collapsed="false">
      <c r="B27" s="4" t="s">
        <v>27</v>
      </c>
      <c r="C27" s="5" t="s">
        <v>28</v>
      </c>
    </row>
    <row r="28" customFormat="false" ht="15" hidden="false" customHeight="true" outlineLevel="0" collapsed="false">
      <c r="B28" s="4"/>
      <c r="C28" s="5" t="s">
        <v>29</v>
      </c>
    </row>
    <row r="29" customFormat="false" ht="15" hidden="false" customHeight="true" outlineLevel="0" collapsed="false">
      <c r="B29" s="4"/>
      <c r="C29" s="5" t="s">
        <v>30</v>
      </c>
    </row>
    <row r="30" customFormat="false" ht="15" hidden="false" customHeight="true" outlineLevel="0" collapsed="false">
      <c r="B30" s="4"/>
      <c r="C30" s="5"/>
    </row>
    <row r="31" customFormat="false" ht="15" hidden="false" customHeight="true" outlineLevel="0" collapsed="false">
      <c r="B31" s="4" t="s">
        <v>31</v>
      </c>
      <c r="C31" s="5" t="s">
        <v>32</v>
      </c>
    </row>
    <row r="32" customFormat="false" ht="15" hidden="false" customHeight="true" outlineLevel="0" collapsed="false">
      <c r="B32" s="4"/>
      <c r="C32" s="5" t="s">
        <v>33</v>
      </c>
    </row>
    <row r="33" customFormat="false" ht="15" hidden="false" customHeight="true" outlineLevel="0" collapsed="false">
      <c r="B33" s="4" t="s">
        <v>34</v>
      </c>
      <c r="C33" s="5" t="s">
        <v>35</v>
      </c>
    </row>
    <row r="34" customFormat="false" ht="15" hidden="false" customHeight="true" outlineLevel="0" collapsed="false">
      <c r="B34" s="4"/>
      <c r="C34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7"/>
    <col collapsed="false" customWidth="true" hidden="false" outlineLevel="0" max="4" min="4" style="1" width="34"/>
    <col collapsed="false" customWidth="true" hidden="false" outlineLevel="0" max="5" min="5" style="1" width="44"/>
    <col collapsed="false" customWidth="true" hidden="false" outlineLevel="0" max="7" min="6" style="1" width="7"/>
    <col collapsed="false" customWidth="true" hidden="false" outlineLevel="0" max="8" min="8" style="1" width="16"/>
    <col collapsed="false" customWidth="true" hidden="false" outlineLevel="0" max="9" min="9" style="1" width="15"/>
    <col collapsed="false" customWidth="true" hidden="false" outlineLevel="0" max="10" min="10" style="1" width="8"/>
    <col collapsed="false" customWidth="true" hidden="false" outlineLevel="0" max="11" min="11" style="1" width="22"/>
    <col collapsed="false" customWidth="true" hidden="false" outlineLevel="0" max="12" min="12" style="1" width="72"/>
  </cols>
  <sheetData>
    <row r="2" customFormat="false" ht="17.25" hidden="false" customHeight="true" outlineLevel="0" collapsed="false">
      <c r="B2" s="6" t="s">
        <v>37</v>
      </c>
    </row>
    <row r="3" customFormat="false" ht="15" hidden="false" customHeight="true" outlineLevel="0" collapsed="false">
      <c r="B3" s="7" t="s">
        <v>38</v>
      </c>
    </row>
    <row r="5" customFormat="false" ht="27.75" hidden="false" customHeight="true" outlineLevel="0" collapsed="false">
      <c r="B5" s="8" t="s">
        <v>39</v>
      </c>
      <c r="C5" s="8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8" t="s">
        <v>45</v>
      </c>
      <c r="I5" s="8" t="s">
        <v>46</v>
      </c>
      <c r="J5" s="8" t="s">
        <v>47</v>
      </c>
      <c r="K5" s="8" t="s">
        <v>48</v>
      </c>
      <c r="L5" s="8" t="s">
        <v>49</v>
      </c>
    </row>
    <row r="6" customFormat="false" ht="15" hidden="false" customHeight="true" outlineLevel="0" collapsed="false">
      <c r="B6" s="9" t="s">
        <v>50</v>
      </c>
      <c r="C6" s="9" t="s">
        <v>51</v>
      </c>
      <c r="D6" s="10"/>
      <c r="E6" s="10"/>
      <c r="F6" s="10"/>
      <c r="G6" s="10"/>
      <c r="H6" s="10"/>
      <c r="I6" s="10"/>
      <c r="J6" s="10"/>
      <c r="K6" s="10"/>
      <c r="L6" s="10"/>
    </row>
    <row r="7" customFormat="false" ht="15" hidden="false" customHeight="true" outlineLevel="0" collapsed="false">
      <c r="B7" s="11" t="s">
        <v>50</v>
      </c>
      <c r="C7" s="11" t="s">
        <v>52</v>
      </c>
      <c r="D7" s="12" t="s">
        <v>53</v>
      </c>
      <c r="E7" s="13" t="s">
        <v>54</v>
      </c>
      <c r="F7" s="14" t="n">
        <v>1</v>
      </c>
      <c r="G7" s="11" t="s">
        <v>55</v>
      </c>
      <c r="H7" s="15" t="n">
        <f aca="false">95/1000*Roll_up_rate</f>
        <v>2.09</v>
      </c>
      <c r="I7" s="15" t="n">
        <f aca="false">F7*H7</f>
        <v>2.09</v>
      </c>
      <c r="J7" s="16" t="s">
        <v>56</v>
      </c>
      <c r="K7" s="13" t="s">
        <v>57</v>
      </c>
      <c r="L7" s="13" t="s">
        <v>58</v>
      </c>
    </row>
    <row r="8" customFormat="false" ht="15" hidden="false" customHeight="true" outlineLevel="0" collapsed="false">
      <c r="B8" s="17" t="s">
        <v>50</v>
      </c>
      <c r="C8" s="17" t="s">
        <v>59</v>
      </c>
      <c r="D8" s="18" t="s">
        <v>60</v>
      </c>
      <c r="E8" s="19" t="s">
        <v>61</v>
      </c>
      <c r="F8" s="20" t="n">
        <v>1</v>
      </c>
      <c r="G8" s="17" t="s">
        <v>55</v>
      </c>
      <c r="H8" s="21" t="n">
        <f aca="false">95/1000*Roll_up_rate</f>
        <v>2.09</v>
      </c>
      <c r="I8" s="21" t="n">
        <f aca="false">F8*H8</f>
        <v>2.09</v>
      </c>
      <c r="J8" s="16" t="s">
        <v>56</v>
      </c>
      <c r="K8" s="19" t="s">
        <v>57</v>
      </c>
      <c r="L8" s="19" t="s">
        <v>62</v>
      </c>
    </row>
    <row r="9" customFormat="false" ht="15" hidden="false" customHeight="true" outlineLevel="0" collapsed="false">
      <c r="B9" s="11" t="s">
        <v>50</v>
      </c>
      <c r="C9" s="11" t="s">
        <v>63</v>
      </c>
      <c r="D9" s="12" t="s">
        <v>64</v>
      </c>
      <c r="E9" s="13" t="s">
        <v>65</v>
      </c>
      <c r="F9" s="14" t="n">
        <v>1</v>
      </c>
      <c r="G9" s="11" t="s">
        <v>55</v>
      </c>
      <c r="H9" s="15" t="n">
        <f aca="false">150/1000*Roll_up_rate</f>
        <v>3.3</v>
      </c>
      <c r="I9" s="15" t="n">
        <f aca="false">F9*H9</f>
        <v>3.3</v>
      </c>
      <c r="J9" s="16" t="s">
        <v>56</v>
      </c>
      <c r="K9" s="13" t="s">
        <v>57</v>
      </c>
      <c r="L9" s="13" t="s">
        <v>66</v>
      </c>
    </row>
    <row r="10" customFormat="false" ht="15" hidden="false" customHeight="true" outlineLevel="0" collapsed="false">
      <c r="B10" s="17" t="s">
        <v>50</v>
      </c>
      <c r="C10" s="17" t="s">
        <v>67</v>
      </c>
      <c r="D10" s="18" t="s">
        <v>68</v>
      </c>
      <c r="E10" s="19" t="s">
        <v>69</v>
      </c>
      <c r="F10" s="20" t="n">
        <v>2</v>
      </c>
      <c r="G10" s="17" t="s">
        <v>55</v>
      </c>
      <c r="H10" s="21" t="n">
        <f aca="false">65/1000*Roll_up_rate</f>
        <v>1.43</v>
      </c>
      <c r="I10" s="21" t="n">
        <f aca="false">F10*H10</f>
        <v>2.86</v>
      </c>
      <c r="J10" s="16" t="s">
        <v>56</v>
      </c>
      <c r="K10" s="19" t="s">
        <v>57</v>
      </c>
      <c r="L10" s="19" t="s">
        <v>70</v>
      </c>
    </row>
    <row r="11" customFormat="false" ht="15" hidden="false" customHeight="true" outlineLevel="0" collapsed="false">
      <c r="B11" s="11" t="s">
        <v>50</v>
      </c>
      <c r="C11" s="11" t="s">
        <v>71</v>
      </c>
      <c r="D11" s="12" t="s">
        <v>72</v>
      </c>
      <c r="E11" s="13" t="s">
        <v>73</v>
      </c>
      <c r="F11" s="14" t="n">
        <v>6</v>
      </c>
      <c r="G11" s="11" t="s">
        <v>55</v>
      </c>
      <c r="H11" s="15" t="n">
        <f aca="false">2/1000*Roll_up_rate</f>
        <v>0.044</v>
      </c>
      <c r="I11" s="15" t="n">
        <f aca="false">F11*H11</f>
        <v>0.264</v>
      </c>
      <c r="J11" s="22" t="s">
        <v>74</v>
      </c>
      <c r="K11" s="13" t="s">
        <v>57</v>
      </c>
      <c r="L11" s="13" t="s">
        <v>75</v>
      </c>
    </row>
    <row r="12" customFormat="false" ht="15" hidden="false" customHeight="true" outlineLevel="0" collapsed="false">
      <c r="B12" s="17" t="s">
        <v>50</v>
      </c>
      <c r="C12" s="17" t="s">
        <v>76</v>
      </c>
      <c r="D12" s="18" t="s">
        <v>77</v>
      </c>
      <c r="E12" s="19" t="s">
        <v>78</v>
      </c>
      <c r="F12" s="20" t="n">
        <v>1</v>
      </c>
      <c r="G12" s="17" t="s">
        <v>79</v>
      </c>
      <c r="H12" s="21" t="n">
        <f aca="false">180/1000*Roll_up_rate</f>
        <v>3.96</v>
      </c>
      <c r="I12" s="21" t="n">
        <f aca="false">F12*H12</f>
        <v>3.96</v>
      </c>
      <c r="J12" s="16" t="s">
        <v>56</v>
      </c>
      <c r="K12" s="19" t="s">
        <v>57</v>
      </c>
      <c r="L12" s="19" t="s">
        <v>80</v>
      </c>
    </row>
    <row r="13" customFormat="false" ht="15" hidden="false" customHeight="true" outlineLevel="0" collapsed="false">
      <c r="B13" s="11" t="s">
        <v>50</v>
      </c>
      <c r="C13" s="11" t="s">
        <v>81</v>
      </c>
      <c r="D13" s="12" t="s">
        <v>82</v>
      </c>
      <c r="E13" s="13" t="s">
        <v>83</v>
      </c>
      <c r="F13" s="14" t="n">
        <v>1</v>
      </c>
      <c r="G13" s="11" t="s">
        <v>55</v>
      </c>
      <c r="H13" s="15" t="n">
        <f aca="false">120/1000*Roll_up_rate</f>
        <v>2.64</v>
      </c>
      <c r="I13" s="15" t="n">
        <f aca="false">F13*H13</f>
        <v>2.64</v>
      </c>
      <c r="J13" s="16" t="s">
        <v>56</v>
      </c>
      <c r="K13" s="13" t="s">
        <v>57</v>
      </c>
      <c r="L13" s="13" t="s">
        <v>84</v>
      </c>
    </row>
    <row r="14" customFormat="false" ht="15" hidden="false" customHeight="true" outlineLevel="0" collapsed="false">
      <c r="B14" s="17" t="s">
        <v>50</v>
      </c>
      <c r="C14" s="17" t="s">
        <v>85</v>
      </c>
      <c r="D14" s="18" t="s">
        <v>86</v>
      </c>
      <c r="E14" s="19" t="s">
        <v>87</v>
      </c>
      <c r="F14" s="20" t="n">
        <v>2</v>
      </c>
      <c r="G14" s="17" t="s">
        <v>55</v>
      </c>
      <c r="H14" s="21" t="n">
        <f aca="false">30/1000*Roll_up_rate</f>
        <v>0.66</v>
      </c>
      <c r="I14" s="21" t="n">
        <f aca="false">F14*H14</f>
        <v>1.32</v>
      </c>
      <c r="J14" s="16" t="s">
        <v>56</v>
      </c>
      <c r="K14" s="19" t="s">
        <v>57</v>
      </c>
      <c r="L14" s="19" t="s">
        <v>88</v>
      </c>
    </row>
    <row r="15" customFormat="false" ht="15" hidden="false" customHeight="true" outlineLevel="0" collapsed="false">
      <c r="B15" s="11" t="s">
        <v>50</v>
      </c>
      <c r="C15" s="11" t="s">
        <v>89</v>
      </c>
      <c r="D15" s="12" t="s">
        <v>90</v>
      </c>
      <c r="E15" s="13" t="s">
        <v>91</v>
      </c>
      <c r="F15" s="14" t="n">
        <v>1</v>
      </c>
      <c r="G15" s="11" t="s">
        <v>55</v>
      </c>
      <c r="H15" s="15" t="n">
        <f aca="false">140/1000*Roll_up_rate</f>
        <v>3.08</v>
      </c>
      <c r="I15" s="15" t="n">
        <f aca="false">F15*H15</f>
        <v>3.08</v>
      </c>
      <c r="J15" s="16" t="s">
        <v>56</v>
      </c>
      <c r="K15" s="13" t="s">
        <v>57</v>
      </c>
      <c r="L15" s="13" t="s">
        <v>92</v>
      </c>
    </row>
    <row r="17" customFormat="false" ht="15" hidden="false" customHeight="true" outlineLevel="0" collapsed="false">
      <c r="B17" s="9" t="s">
        <v>93</v>
      </c>
      <c r="C17" s="9" t="s">
        <v>94</v>
      </c>
      <c r="D17" s="10"/>
      <c r="E17" s="10"/>
      <c r="F17" s="10"/>
      <c r="G17" s="10"/>
      <c r="H17" s="10"/>
      <c r="I17" s="10"/>
      <c r="J17" s="10"/>
      <c r="K17" s="10"/>
      <c r="L17" s="10"/>
    </row>
    <row r="18" customFormat="false" ht="15" hidden="false" customHeight="true" outlineLevel="0" collapsed="false">
      <c r="B18" s="17" t="s">
        <v>93</v>
      </c>
      <c r="C18" s="17" t="s">
        <v>95</v>
      </c>
      <c r="D18" s="18" t="s">
        <v>96</v>
      </c>
      <c r="E18" s="19" t="s">
        <v>97</v>
      </c>
      <c r="F18" s="20" t="n">
        <v>45</v>
      </c>
      <c r="G18" s="17" t="s">
        <v>55</v>
      </c>
      <c r="H18" s="21" t="n">
        <v>1.4</v>
      </c>
      <c r="I18" s="21" t="n">
        <f aca="false">F18*H18</f>
        <v>63</v>
      </c>
      <c r="J18" s="16" t="s">
        <v>56</v>
      </c>
      <c r="K18" s="19" t="s">
        <v>98</v>
      </c>
      <c r="L18" s="19" t="s">
        <v>99</v>
      </c>
    </row>
    <row r="19" customFormat="false" ht="15" hidden="false" customHeight="true" outlineLevel="0" collapsed="false">
      <c r="B19" s="11" t="s">
        <v>93</v>
      </c>
      <c r="C19" s="11" t="s">
        <v>100</v>
      </c>
      <c r="D19" s="12" t="s">
        <v>101</v>
      </c>
      <c r="E19" s="13" t="s">
        <v>102</v>
      </c>
      <c r="F19" s="14" t="n">
        <v>1</v>
      </c>
      <c r="G19" s="11" t="s">
        <v>55</v>
      </c>
      <c r="H19" s="15" t="n">
        <v>8</v>
      </c>
      <c r="I19" s="15" t="n">
        <f aca="false">F19*H19</f>
        <v>8</v>
      </c>
      <c r="J19" s="16" t="s">
        <v>56</v>
      </c>
      <c r="K19" s="13" t="s">
        <v>103</v>
      </c>
      <c r="L19" s="13" t="s">
        <v>104</v>
      </c>
    </row>
    <row r="20" customFormat="false" ht="15" hidden="false" customHeight="true" outlineLevel="0" collapsed="false">
      <c r="B20" s="17" t="s">
        <v>93</v>
      </c>
      <c r="C20" s="17" t="s">
        <v>105</v>
      </c>
      <c r="D20" s="18" t="s">
        <v>106</v>
      </c>
      <c r="E20" s="19" t="s">
        <v>107</v>
      </c>
      <c r="F20" s="20" t="n">
        <v>2</v>
      </c>
      <c r="G20" s="17" t="s">
        <v>55</v>
      </c>
      <c r="H20" s="21" t="n">
        <v>7</v>
      </c>
      <c r="I20" s="21" t="n">
        <f aca="false">F20*H20</f>
        <v>14</v>
      </c>
      <c r="J20" s="16" t="s">
        <v>56</v>
      </c>
      <c r="K20" s="19" t="s">
        <v>103</v>
      </c>
      <c r="L20" s="19" t="s">
        <v>108</v>
      </c>
    </row>
    <row r="21" customFormat="false" ht="15" hidden="false" customHeight="true" outlineLevel="0" collapsed="false">
      <c r="B21" s="11" t="s">
        <v>93</v>
      </c>
      <c r="C21" s="11" t="s">
        <v>109</v>
      </c>
      <c r="D21" s="12" t="s">
        <v>110</v>
      </c>
      <c r="E21" s="13" t="s">
        <v>111</v>
      </c>
      <c r="F21" s="14" t="n">
        <v>1</v>
      </c>
      <c r="G21" s="11" t="s">
        <v>55</v>
      </c>
      <c r="H21" s="15" t="n">
        <v>8</v>
      </c>
      <c r="I21" s="15" t="n">
        <f aca="false">F21*H21</f>
        <v>8</v>
      </c>
      <c r="J21" s="16" t="s">
        <v>56</v>
      </c>
      <c r="K21" s="13" t="s">
        <v>103</v>
      </c>
      <c r="L21" s="13"/>
    </row>
    <row r="22" customFormat="false" ht="15" hidden="false" customHeight="true" outlineLevel="0" collapsed="false">
      <c r="B22" s="17" t="s">
        <v>93</v>
      </c>
      <c r="C22" s="17" t="s">
        <v>112</v>
      </c>
      <c r="D22" s="18" t="s">
        <v>113</v>
      </c>
      <c r="E22" s="19" t="s">
        <v>114</v>
      </c>
      <c r="F22" s="20" t="n">
        <v>1</v>
      </c>
      <c r="G22" s="17" t="s">
        <v>55</v>
      </c>
      <c r="H22" s="21" t="n">
        <v>6</v>
      </c>
      <c r="I22" s="21" t="n">
        <f aca="false">F22*H22</f>
        <v>6</v>
      </c>
      <c r="J22" s="16" t="s">
        <v>56</v>
      </c>
      <c r="K22" s="19" t="s">
        <v>103</v>
      </c>
      <c r="L22" s="19"/>
    </row>
    <row r="24" customFormat="false" ht="15" hidden="false" customHeight="true" outlineLevel="0" collapsed="false">
      <c r="B24" s="9" t="s">
        <v>115</v>
      </c>
      <c r="C24" s="9" t="s">
        <v>116</v>
      </c>
      <c r="D24" s="10"/>
      <c r="E24" s="10"/>
      <c r="F24" s="10"/>
      <c r="G24" s="10"/>
      <c r="H24" s="10"/>
      <c r="I24" s="10"/>
      <c r="J24" s="10"/>
      <c r="K24" s="10"/>
      <c r="L24" s="10"/>
    </row>
    <row r="25" customFormat="false" ht="21.75" hidden="false" customHeight="true" outlineLevel="0" collapsed="false">
      <c r="B25" s="11" t="s">
        <v>115</v>
      </c>
      <c r="C25" s="11" t="s">
        <v>117</v>
      </c>
      <c r="D25" s="12" t="s">
        <v>118</v>
      </c>
      <c r="E25" s="13" t="s">
        <v>119</v>
      </c>
      <c r="F25" s="14" t="n">
        <v>26</v>
      </c>
      <c r="G25" s="11" t="s">
        <v>55</v>
      </c>
      <c r="H25" s="15" t="n">
        <v>0.35</v>
      </c>
      <c r="I25" s="15" t="n">
        <f aca="false">F25*H25</f>
        <v>9.1</v>
      </c>
      <c r="J25" s="16" t="s">
        <v>56</v>
      </c>
      <c r="K25" s="13" t="s">
        <v>120</v>
      </c>
      <c r="L25" s="13" t="s">
        <v>121</v>
      </c>
    </row>
    <row r="26" customFormat="false" ht="15" hidden="false" customHeight="true" outlineLevel="0" collapsed="false">
      <c r="B26" s="17" t="s">
        <v>115</v>
      </c>
      <c r="C26" s="17" t="s">
        <v>122</v>
      </c>
      <c r="D26" s="18" t="s">
        <v>123</v>
      </c>
      <c r="E26" s="19" t="s">
        <v>124</v>
      </c>
      <c r="F26" s="20" t="n">
        <v>26</v>
      </c>
      <c r="G26" s="17" t="s">
        <v>55</v>
      </c>
      <c r="H26" s="21" t="n">
        <v>0.05</v>
      </c>
      <c r="I26" s="21" t="n">
        <f aca="false">F26*H26</f>
        <v>1.3</v>
      </c>
      <c r="J26" s="16" t="s">
        <v>56</v>
      </c>
      <c r="K26" s="19" t="s">
        <v>120</v>
      </c>
      <c r="L26" s="19"/>
    </row>
    <row r="27" customFormat="false" ht="15" hidden="false" customHeight="true" outlineLevel="0" collapsed="false">
      <c r="B27" s="11" t="s">
        <v>115</v>
      </c>
      <c r="C27" s="11" t="s">
        <v>125</v>
      </c>
      <c r="D27" s="12" t="s">
        <v>126</v>
      </c>
      <c r="E27" s="13" t="s">
        <v>127</v>
      </c>
      <c r="F27" s="14" t="n">
        <v>1</v>
      </c>
      <c r="G27" s="11" t="s">
        <v>55</v>
      </c>
      <c r="H27" s="15" t="n">
        <v>6</v>
      </c>
      <c r="I27" s="15" t="n">
        <f aca="false">F27*H27</f>
        <v>6</v>
      </c>
      <c r="J27" s="16" t="s">
        <v>56</v>
      </c>
      <c r="K27" s="13" t="s">
        <v>120</v>
      </c>
      <c r="L27" s="13" t="s">
        <v>128</v>
      </c>
    </row>
    <row r="28" customFormat="false" ht="15" hidden="false" customHeight="true" outlineLevel="0" collapsed="false">
      <c r="B28" s="17" t="s">
        <v>115</v>
      </c>
      <c r="C28" s="17" t="s">
        <v>129</v>
      </c>
      <c r="D28" s="18" t="s">
        <v>130</v>
      </c>
      <c r="E28" s="19" t="s">
        <v>59</v>
      </c>
      <c r="F28" s="20" t="n">
        <v>16</v>
      </c>
      <c r="G28" s="17" t="s">
        <v>55</v>
      </c>
      <c r="H28" s="21" t="n">
        <v>0.12</v>
      </c>
      <c r="I28" s="21" t="n">
        <f aca="false">F28*H28</f>
        <v>1.92</v>
      </c>
      <c r="J28" s="16" t="s">
        <v>56</v>
      </c>
      <c r="K28" s="19" t="s">
        <v>120</v>
      </c>
      <c r="L28" s="19"/>
    </row>
    <row r="29" customFormat="false" ht="15" hidden="false" customHeight="true" outlineLevel="0" collapsed="false">
      <c r="B29" s="11" t="s">
        <v>115</v>
      </c>
      <c r="C29" s="11" t="s">
        <v>131</v>
      </c>
      <c r="D29" s="12" t="s">
        <v>132</v>
      </c>
      <c r="E29" s="13" t="s">
        <v>133</v>
      </c>
      <c r="F29" s="14" t="n">
        <v>1</v>
      </c>
      <c r="G29" s="11" t="s">
        <v>55</v>
      </c>
      <c r="H29" s="15" t="n">
        <v>9</v>
      </c>
      <c r="I29" s="15" t="n">
        <f aca="false">F29*H29</f>
        <v>9</v>
      </c>
      <c r="J29" s="16" t="s">
        <v>56</v>
      </c>
      <c r="K29" s="13" t="s">
        <v>134</v>
      </c>
      <c r="L29" s="13" t="s">
        <v>135</v>
      </c>
    </row>
    <row r="30" customFormat="false" ht="15" hidden="false" customHeight="true" outlineLevel="0" collapsed="false">
      <c r="B30" s="17" t="s">
        <v>115</v>
      </c>
      <c r="C30" s="17" t="s">
        <v>136</v>
      </c>
      <c r="D30" s="18" t="s">
        <v>137</v>
      </c>
      <c r="E30" s="19" t="s">
        <v>138</v>
      </c>
      <c r="F30" s="20" t="n">
        <v>1</v>
      </c>
      <c r="G30" s="17" t="s">
        <v>139</v>
      </c>
      <c r="H30" s="21" t="n">
        <v>20.65</v>
      </c>
      <c r="I30" s="21" t="n">
        <f aca="false">F30*H30</f>
        <v>20.65</v>
      </c>
      <c r="J30" s="16" t="s">
        <v>56</v>
      </c>
      <c r="K30" s="19" t="s">
        <v>140</v>
      </c>
      <c r="L30" s="19" t="s">
        <v>141</v>
      </c>
    </row>
    <row r="31" customFormat="false" ht="15" hidden="false" customHeight="true" outlineLevel="0" collapsed="false">
      <c r="B31" s="11" t="s">
        <v>115</v>
      </c>
      <c r="C31" s="11" t="s">
        <v>142</v>
      </c>
      <c r="D31" s="12" t="s">
        <v>143</v>
      </c>
      <c r="E31" s="13" t="s">
        <v>144</v>
      </c>
      <c r="F31" s="14" t="n">
        <v>2</v>
      </c>
      <c r="G31" s="11" t="s">
        <v>55</v>
      </c>
      <c r="H31" s="15" t="n">
        <v>12</v>
      </c>
      <c r="I31" s="15" t="n">
        <f aca="false">F31*H31</f>
        <v>24</v>
      </c>
      <c r="J31" s="16" t="s">
        <v>56</v>
      </c>
      <c r="K31" s="13" t="s">
        <v>134</v>
      </c>
      <c r="L31" s="13" t="s">
        <v>145</v>
      </c>
    </row>
    <row r="32" customFormat="false" ht="15" hidden="false" customHeight="true" outlineLevel="0" collapsed="false">
      <c r="B32" s="17" t="s">
        <v>115</v>
      </c>
      <c r="C32" s="17" t="s">
        <v>146</v>
      </c>
      <c r="D32" s="18" t="s">
        <v>147</v>
      </c>
      <c r="E32" s="19" t="s">
        <v>148</v>
      </c>
      <c r="F32" s="20" t="n">
        <v>2</v>
      </c>
      <c r="G32" s="17" t="s">
        <v>55</v>
      </c>
      <c r="H32" s="21" t="n">
        <v>7</v>
      </c>
      <c r="I32" s="21" t="n">
        <f aca="false">F32*H32</f>
        <v>14</v>
      </c>
      <c r="J32" s="16" t="s">
        <v>56</v>
      </c>
      <c r="K32" s="19" t="s">
        <v>134</v>
      </c>
      <c r="L32" s="19" t="s">
        <v>149</v>
      </c>
    </row>
    <row r="33" customFormat="false" ht="15" hidden="false" customHeight="true" outlineLevel="0" collapsed="false">
      <c r="B33" s="11" t="s">
        <v>115</v>
      </c>
      <c r="C33" s="11" t="s">
        <v>150</v>
      </c>
      <c r="D33" s="12" t="s">
        <v>151</v>
      </c>
      <c r="E33" s="13" t="s">
        <v>152</v>
      </c>
      <c r="F33" s="14" t="n">
        <v>1</v>
      </c>
      <c r="G33" s="11" t="s">
        <v>55</v>
      </c>
      <c r="H33" s="15" t="n">
        <v>4</v>
      </c>
      <c r="I33" s="15" t="n">
        <f aca="false">F33*H33</f>
        <v>4</v>
      </c>
      <c r="J33" s="16" t="s">
        <v>56</v>
      </c>
      <c r="K33" s="13" t="s">
        <v>134</v>
      </c>
      <c r="L33" s="13"/>
    </row>
    <row r="34" customFormat="false" ht="15" hidden="false" customHeight="true" outlineLevel="0" collapsed="false">
      <c r="B34" s="17" t="s">
        <v>115</v>
      </c>
      <c r="C34" s="17" t="s">
        <v>153</v>
      </c>
      <c r="D34" s="18" t="s">
        <v>154</v>
      </c>
      <c r="E34" s="19" t="s">
        <v>155</v>
      </c>
      <c r="F34" s="20" t="n">
        <v>1</v>
      </c>
      <c r="G34" s="17" t="s">
        <v>79</v>
      </c>
      <c r="H34" s="21" t="n">
        <v>12</v>
      </c>
      <c r="I34" s="21" t="n">
        <f aca="false">F34*H34</f>
        <v>12</v>
      </c>
      <c r="J34" s="16" t="s">
        <v>56</v>
      </c>
      <c r="K34" s="19" t="s">
        <v>134</v>
      </c>
      <c r="L34" s="19" t="s">
        <v>156</v>
      </c>
    </row>
    <row r="35" customFormat="false" ht="15" hidden="false" customHeight="true" outlineLevel="0" collapsed="false">
      <c r="B35" s="11" t="s">
        <v>115</v>
      </c>
      <c r="C35" s="11" t="s">
        <v>157</v>
      </c>
      <c r="D35" s="12" t="s">
        <v>158</v>
      </c>
      <c r="E35" s="13" t="s">
        <v>159</v>
      </c>
      <c r="F35" s="14" t="n">
        <v>1</v>
      </c>
      <c r="G35" s="11" t="s">
        <v>55</v>
      </c>
      <c r="H35" s="15" t="n">
        <v>5</v>
      </c>
      <c r="I35" s="15" t="n">
        <f aca="false">F35*H35</f>
        <v>5</v>
      </c>
      <c r="J35" s="22" t="s">
        <v>74</v>
      </c>
      <c r="K35" s="13" t="s">
        <v>134</v>
      </c>
      <c r="L35" s="13" t="s">
        <v>160</v>
      </c>
    </row>
    <row r="36" customFormat="false" ht="15" hidden="false" customHeight="true" outlineLevel="0" collapsed="false">
      <c r="B36" s="17" t="s">
        <v>115</v>
      </c>
      <c r="C36" s="17" t="s">
        <v>161</v>
      </c>
      <c r="D36" s="18" t="s">
        <v>162</v>
      </c>
      <c r="E36" s="19" t="s">
        <v>163</v>
      </c>
      <c r="F36" s="20" t="n">
        <v>1</v>
      </c>
      <c r="G36" s="17" t="s">
        <v>55</v>
      </c>
      <c r="H36" s="21" t="n">
        <v>18</v>
      </c>
      <c r="I36" s="21" t="n">
        <f aca="false">F36*H36</f>
        <v>18</v>
      </c>
      <c r="J36" s="22" t="s">
        <v>74</v>
      </c>
      <c r="K36" s="19" t="s">
        <v>134</v>
      </c>
      <c r="L36" s="19" t="s">
        <v>164</v>
      </c>
    </row>
    <row r="38" customFormat="false" ht="15" hidden="false" customHeight="true" outlineLevel="0" collapsed="false">
      <c r="B38" s="9" t="s">
        <v>165</v>
      </c>
      <c r="C38" s="9" t="s">
        <v>166</v>
      </c>
      <c r="D38" s="10"/>
      <c r="E38" s="10"/>
      <c r="F38" s="10"/>
      <c r="G38" s="10"/>
      <c r="H38" s="10"/>
      <c r="I38" s="10"/>
      <c r="J38" s="10"/>
      <c r="K38" s="10"/>
      <c r="L38" s="10"/>
    </row>
    <row r="39" customFormat="false" ht="21.75" hidden="false" customHeight="true" outlineLevel="0" collapsed="false">
      <c r="B39" s="11" t="s">
        <v>165</v>
      </c>
      <c r="C39" s="11" t="s">
        <v>167</v>
      </c>
      <c r="D39" s="12" t="s">
        <v>168</v>
      </c>
      <c r="E39" s="13" t="s">
        <v>169</v>
      </c>
      <c r="F39" s="14" t="n">
        <v>1</v>
      </c>
      <c r="G39" s="11" t="s">
        <v>55</v>
      </c>
      <c r="H39" s="15" t="n">
        <v>106.99</v>
      </c>
      <c r="I39" s="15" t="n">
        <f aca="false">F39*H39</f>
        <v>106.99</v>
      </c>
      <c r="J39" s="16" t="s">
        <v>56</v>
      </c>
      <c r="K39" s="13" t="s">
        <v>170</v>
      </c>
      <c r="L39" s="13" t="s">
        <v>171</v>
      </c>
    </row>
    <row r="40" customFormat="false" ht="15" hidden="false" customHeight="true" outlineLevel="0" collapsed="false">
      <c r="B40" s="17" t="s">
        <v>165</v>
      </c>
      <c r="C40" s="17" t="s">
        <v>172</v>
      </c>
      <c r="D40" s="18" t="s">
        <v>173</v>
      </c>
      <c r="E40" s="19" t="s">
        <v>174</v>
      </c>
      <c r="F40" s="20" t="n">
        <v>1</v>
      </c>
      <c r="G40" s="17" t="s">
        <v>55</v>
      </c>
      <c r="H40" s="21" t="n">
        <v>14</v>
      </c>
      <c r="I40" s="21" t="n">
        <f aca="false">F40*H40</f>
        <v>14</v>
      </c>
      <c r="J40" s="16" t="s">
        <v>56</v>
      </c>
      <c r="K40" s="19" t="s">
        <v>103</v>
      </c>
      <c r="L40" s="19" t="s">
        <v>175</v>
      </c>
    </row>
    <row r="41" customFormat="false" ht="15" hidden="false" customHeight="true" outlineLevel="0" collapsed="false">
      <c r="B41" s="11" t="s">
        <v>165</v>
      </c>
      <c r="C41" s="11" t="s">
        <v>176</v>
      </c>
      <c r="D41" s="12" t="s">
        <v>177</v>
      </c>
      <c r="E41" s="13" t="s">
        <v>178</v>
      </c>
      <c r="F41" s="14" t="n">
        <v>2</v>
      </c>
      <c r="G41" s="11" t="s">
        <v>55</v>
      </c>
      <c r="H41" s="15" t="n">
        <v>6</v>
      </c>
      <c r="I41" s="15" t="n">
        <f aca="false">F41*H41</f>
        <v>12</v>
      </c>
      <c r="J41" s="16" t="s">
        <v>56</v>
      </c>
      <c r="K41" s="13" t="s">
        <v>103</v>
      </c>
      <c r="L41" s="13" t="s">
        <v>179</v>
      </c>
    </row>
    <row r="42" customFormat="false" ht="15" hidden="false" customHeight="true" outlineLevel="0" collapsed="false">
      <c r="B42" s="17" t="s">
        <v>165</v>
      </c>
      <c r="C42" s="17" t="s">
        <v>180</v>
      </c>
      <c r="D42" s="18" t="s">
        <v>181</v>
      </c>
      <c r="E42" s="19" t="s">
        <v>182</v>
      </c>
      <c r="F42" s="20" t="n">
        <v>2</v>
      </c>
      <c r="G42" s="17" t="s">
        <v>55</v>
      </c>
      <c r="H42" s="21" t="n">
        <v>8</v>
      </c>
      <c r="I42" s="21" t="n">
        <f aca="false">F42*H42</f>
        <v>16</v>
      </c>
      <c r="J42" s="16" t="s">
        <v>56</v>
      </c>
      <c r="K42" s="19" t="s">
        <v>103</v>
      </c>
      <c r="L42" s="19" t="s">
        <v>183</v>
      </c>
    </row>
    <row r="43" customFormat="false" ht="15" hidden="false" customHeight="true" outlineLevel="0" collapsed="false">
      <c r="B43" s="11" t="s">
        <v>165</v>
      </c>
      <c r="C43" s="11" t="s">
        <v>184</v>
      </c>
      <c r="D43" s="12" t="s">
        <v>185</v>
      </c>
      <c r="E43" s="13" t="s">
        <v>186</v>
      </c>
      <c r="F43" s="14" t="n">
        <v>2</v>
      </c>
      <c r="G43" s="11" t="s">
        <v>55</v>
      </c>
      <c r="H43" s="15" t="n">
        <v>9</v>
      </c>
      <c r="I43" s="15" t="n">
        <f aca="false">F43*H43</f>
        <v>18</v>
      </c>
      <c r="J43" s="16" t="s">
        <v>56</v>
      </c>
      <c r="K43" s="13" t="s">
        <v>103</v>
      </c>
      <c r="L43" s="13" t="s">
        <v>187</v>
      </c>
    </row>
    <row r="44" customFormat="false" ht="15" hidden="false" customHeight="true" outlineLevel="0" collapsed="false">
      <c r="B44" s="17" t="s">
        <v>165</v>
      </c>
      <c r="C44" s="17" t="s">
        <v>188</v>
      </c>
      <c r="D44" s="18" t="s">
        <v>189</v>
      </c>
      <c r="E44" s="19" t="s">
        <v>190</v>
      </c>
      <c r="F44" s="20" t="n">
        <v>1</v>
      </c>
      <c r="G44" s="17" t="s">
        <v>79</v>
      </c>
      <c r="H44" s="21" t="n">
        <v>14</v>
      </c>
      <c r="I44" s="21" t="n">
        <f aca="false">F44*H44</f>
        <v>14</v>
      </c>
      <c r="J44" s="16" t="s">
        <v>56</v>
      </c>
      <c r="K44" s="19" t="s">
        <v>103</v>
      </c>
      <c r="L44" s="19"/>
    </row>
    <row r="45" customFormat="false" ht="15" hidden="false" customHeight="true" outlineLevel="0" collapsed="false">
      <c r="B45" s="11" t="s">
        <v>165</v>
      </c>
      <c r="C45" s="11" t="s">
        <v>191</v>
      </c>
      <c r="D45" s="12" t="s">
        <v>192</v>
      </c>
      <c r="E45" s="13" t="s">
        <v>193</v>
      </c>
      <c r="F45" s="14" t="n">
        <v>1</v>
      </c>
      <c r="G45" s="11" t="s">
        <v>55</v>
      </c>
      <c r="H45" s="15" t="n">
        <v>18</v>
      </c>
      <c r="I45" s="15" t="n">
        <f aca="false">F45*H45</f>
        <v>18</v>
      </c>
      <c r="J45" s="16" t="s">
        <v>56</v>
      </c>
      <c r="K45" s="13" t="s">
        <v>194</v>
      </c>
      <c r="L45" s="13" t="s">
        <v>195</v>
      </c>
    </row>
    <row r="46" customFormat="false" ht="15" hidden="false" customHeight="true" outlineLevel="0" collapsed="false">
      <c r="B46" s="17" t="s">
        <v>165</v>
      </c>
      <c r="C46" s="17" t="s">
        <v>196</v>
      </c>
      <c r="D46" s="18" t="s">
        <v>197</v>
      </c>
      <c r="E46" s="19" t="s">
        <v>198</v>
      </c>
      <c r="F46" s="20" t="n">
        <v>1</v>
      </c>
      <c r="G46" s="17" t="s">
        <v>55</v>
      </c>
      <c r="H46" s="21" t="n">
        <v>6</v>
      </c>
      <c r="I46" s="21" t="n">
        <f aca="false">F46*H46</f>
        <v>6</v>
      </c>
      <c r="J46" s="16" t="s">
        <v>56</v>
      </c>
      <c r="K46" s="19" t="s">
        <v>103</v>
      </c>
      <c r="L46" s="19" t="s">
        <v>199</v>
      </c>
    </row>
    <row r="47" customFormat="false" ht="15" hidden="false" customHeight="true" outlineLevel="0" collapsed="false">
      <c r="B47" s="11" t="s">
        <v>165</v>
      </c>
      <c r="C47" s="11" t="s">
        <v>200</v>
      </c>
      <c r="D47" s="12" t="s">
        <v>201</v>
      </c>
      <c r="E47" s="13" t="s">
        <v>202</v>
      </c>
      <c r="F47" s="14" t="n">
        <v>1</v>
      </c>
      <c r="G47" s="11" t="s">
        <v>55</v>
      </c>
      <c r="H47" s="15" t="n">
        <v>10</v>
      </c>
      <c r="I47" s="15" t="n">
        <f aca="false">F47*H47</f>
        <v>10</v>
      </c>
      <c r="J47" s="16" t="s">
        <v>56</v>
      </c>
      <c r="K47" s="13" t="s">
        <v>103</v>
      </c>
      <c r="L47" s="13"/>
    </row>
    <row r="49" customFormat="false" ht="15" hidden="false" customHeight="true" outlineLevel="0" collapsed="false">
      <c r="B49" s="9" t="s">
        <v>203</v>
      </c>
      <c r="C49" s="9" t="s">
        <v>204</v>
      </c>
      <c r="D49" s="10"/>
      <c r="E49" s="10"/>
      <c r="F49" s="10"/>
      <c r="G49" s="10"/>
      <c r="H49" s="10"/>
      <c r="I49" s="10"/>
      <c r="J49" s="10"/>
      <c r="K49" s="10"/>
      <c r="L49" s="10"/>
    </row>
    <row r="50" customFormat="false" ht="15" hidden="false" customHeight="true" outlineLevel="0" collapsed="false">
      <c r="B50" s="17" t="s">
        <v>203</v>
      </c>
      <c r="C50" s="17" t="s">
        <v>205</v>
      </c>
      <c r="D50" s="18" t="s">
        <v>206</v>
      </c>
      <c r="E50" s="19" t="s">
        <v>207</v>
      </c>
      <c r="F50" s="20" t="n">
        <v>6</v>
      </c>
      <c r="G50" s="17" t="s">
        <v>55</v>
      </c>
      <c r="H50" s="21" t="n">
        <v>0.9</v>
      </c>
      <c r="I50" s="21" t="n">
        <f aca="false">F50*H50</f>
        <v>5.4</v>
      </c>
      <c r="J50" s="16" t="s">
        <v>56</v>
      </c>
      <c r="K50" s="19" t="s">
        <v>208</v>
      </c>
      <c r="L50" s="19" t="s">
        <v>209</v>
      </c>
    </row>
    <row r="51" customFormat="false" ht="15" hidden="false" customHeight="true" outlineLevel="0" collapsed="false">
      <c r="B51" s="11" t="s">
        <v>203</v>
      </c>
      <c r="C51" s="11" t="s">
        <v>210</v>
      </c>
      <c r="D51" s="12" t="s">
        <v>211</v>
      </c>
      <c r="E51" s="13" t="s">
        <v>212</v>
      </c>
      <c r="F51" s="14" t="n">
        <v>1</v>
      </c>
      <c r="G51" s="11" t="s">
        <v>79</v>
      </c>
      <c r="H51" s="15" t="n">
        <v>7</v>
      </c>
      <c r="I51" s="15" t="n">
        <f aca="false">F51*H51</f>
        <v>7</v>
      </c>
      <c r="J51" s="16" t="s">
        <v>56</v>
      </c>
      <c r="K51" s="13" t="s">
        <v>208</v>
      </c>
      <c r="L51" s="13"/>
    </row>
    <row r="52" customFormat="false" ht="21.75" hidden="false" customHeight="true" outlineLevel="0" collapsed="false">
      <c r="B52" s="17" t="s">
        <v>203</v>
      </c>
      <c r="C52" s="17" t="s">
        <v>213</v>
      </c>
      <c r="D52" s="18" t="s">
        <v>214</v>
      </c>
      <c r="E52" s="19" t="s">
        <v>215</v>
      </c>
      <c r="F52" s="20" t="n">
        <v>3</v>
      </c>
      <c r="G52" s="17" t="s">
        <v>55</v>
      </c>
      <c r="H52" s="21" t="n">
        <v>4.07</v>
      </c>
      <c r="I52" s="21" t="n">
        <f aca="false">F52*H52</f>
        <v>12.21</v>
      </c>
      <c r="J52" s="22" t="s">
        <v>74</v>
      </c>
      <c r="K52" s="19" t="s">
        <v>216</v>
      </c>
      <c r="L52" s="19" t="s">
        <v>217</v>
      </c>
    </row>
    <row r="53" customFormat="false" ht="15" hidden="false" customHeight="true" outlineLevel="0" collapsed="false">
      <c r="B53" s="11" t="s">
        <v>203</v>
      </c>
      <c r="C53" s="11" t="s">
        <v>218</v>
      </c>
      <c r="D53" s="12" t="s">
        <v>219</v>
      </c>
      <c r="E53" s="13" t="s">
        <v>220</v>
      </c>
      <c r="F53" s="14" t="n">
        <v>6</v>
      </c>
      <c r="G53" s="11" t="s">
        <v>55</v>
      </c>
      <c r="H53" s="15" t="n">
        <v>1.2</v>
      </c>
      <c r="I53" s="15" t="n">
        <f aca="false">F53*H53</f>
        <v>7.2</v>
      </c>
      <c r="J53" s="22" t="s">
        <v>74</v>
      </c>
      <c r="K53" s="13" t="s">
        <v>208</v>
      </c>
      <c r="L53" s="13"/>
    </row>
    <row r="54" customFormat="false" ht="15" hidden="false" customHeight="true" outlineLevel="0" collapsed="false">
      <c r="B54" s="17" t="s">
        <v>203</v>
      </c>
      <c r="C54" s="17" t="s">
        <v>221</v>
      </c>
      <c r="D54" s="18" t="s">
        <v>222</v>
      </c>
      <c r="E54" s="19" t="s">
        <v>223</v>
      </c>
      <c r="F54" s="20" t="n">
        <v>2</v>
      </c>
      <c r="G54" s="17" t="s">
        <v>55</v>
      </c>
      <c r="H54" s="21" t="n">
        <v>2.5</v>
      </c>
      <c r="I54" s="21" t="n">
        <f aca="false">F54*H54</f>
        <v>5</v>
      </c>
      <c r="J54" s="16" t="s">
        <v>56</v>
      </c>
      <c r="K54" s="19" t="s">
        <v>208</v>
      </c>
      <c r="L54" s="19" t="s">
        <v>224</v>
      </c>
    </row>
    <row r="55" customFormat="false" ht="15" hidden="false" customHeight="true" outlineLevel="0" collapsed="false">
      <c r="B55" s="11" t="s">
        <v>203</v>
      </c>
      <c r="C55" s="11" t="s">
        <v>225</v>
      </c>
      <c r="D55" s="12" t="s">
        <v>226</v>
      </c>
      <c r="E55" s="13" t="s">
        <v>227</v>
      </c>
      <c r="F55" s="14" t="n">
        <v>1</v>
      </c>
      <c r="G55" s="11" t="s">
        <v>79</v>
      </c>
      <c r="H55" s="15" t="n">
        <v>2</v>
      </c>
      <c r="I55" s="15" t="n">
        <f aca="false">F55*H55</f>
        <v>2</v>
      </c>
      <c r="J55" s="16" t="s">
        <v>56</v>
      </c>
      <c r="K55" s="13" t="s">
        <v>208</v>
      </c>
      <c r="L55" s="13" t="s">
        <v>228</v>
      </c>
    </row>
    <row r="56" customFormat="false" ht="15" hidden="false" customHeight="true" outlineLevel="0" collapsed="false">
      <c r="B56" s="17" t="s">
        <v>203</v>
      </c>
      <c r="C56" s="17" t="s">
        <v>229</v>
      </c>
      <c r="D56" s="18" t="s">
        <v>230</v>
      </c>
      <c r="E56" s="19" t="s">
        <v>231</v>
      </c>
      <c r="F56" s="20" t="n">
        <v>1</v>
      </c>
      <c r="G56" s="17" t="s">
        <v>55</v>
      </c>
      <c r="H56" s="21" t="n">
        <v>6.79</v>
      </c>
      <c r="I56" s="21" t="n">
        <f aca="false">F56*H56</f>
        <v>6.79</v>
      </c>
      <c r="J56" s="22" t="s">
        <v>74</v>
      </c>
      <c r="K56" s="19" t="s">
        <v>216</v>
      </c>
      <c r="L56" s="19" t="s">
        <v>232</v>
      </c>
    </row>
    <row r="57" customFormat="false" ht="15" hidden="false" customHeight="true" outlineLevel="0" collapsed="false">
      <c r="B57" s="11" t="s">
        <v>203</v>
      </c>
      <c r="C57" s="11" t="s">
        <v>233</v>
      </c>
      <c r="D57" s="12" t="s">
        <v>234</v>
      </c>
      <c r="E57" s="13" t="s">
        <v>235</v>
      </c>
      <c r="F57" s="14" t="n">
        <v>1</v>
      </c>
      <c r="G57" s="11" t="s">
        <v>55</v>
      </c>
      <c r="H57" s="15" t="n">
        <v>16</v>
      </c>
      <c r="I57" s="15" t="n">
        <f aca="false">F57*H57</f>
        <v>16</v>
      </c>
      <c r="J57" s="16" t="s">
        <v>56</v>
      </c>
      <c r="K57" s="13" t="s">
        <v>236</v>
      </c>
      <c r="L57" s="13" t="s">
        <v>237</v>
      </c>
    </row>
    <row r="58" customFormat="false" ht="21.75" hidden="false" customHeight="true" outlineLevel="0" collapsed="false">
      <c r="B58" s="17" t="s">
        <v>203</v>
      </c>
      <c r="C58" s="17" t="s">
        <v>238</v>
      </c>
      <c r="D58" s="18" t="s">
        <v>239</v>
      </c>
      <c r="E58" s="19" t="s">
        <v>240</v>
      </c>
      <c r="F58" s="20" t="n">
        <v>1</v>
      </c>
      <c r="G58" s="17" t="s">
        <v>55</v>
      </c>
      <c r="H58" s="21" t="n">
        <v>34</v>
      </c>
      <c r="I58" s="21" t="n">
        <f aca="false">F58*H58</f>
        <v>34</v>
      </c>
      <c r="J58" s="16" t="s">
        <v>56</v>
      </c>
      <c r="K58" s="19" t="s">
        <v>103</v>
      </c>
      <c r="L58" s="19" t="s">
        <v>241</v>
      </c>
    </row>
    <row r="59" customFormat="false" ht="15" hidden="false" customHeight="true" outlineLevel="0" collapsed="false">
      <c r="B59" s="11" t="s">
        <v>203</v>
      </c>
      <c r="C59" s="11" t="s">
        <v>242</v>
      </c>
      <c r="D59" s="12" t="s">
        <v>243</v>
      </c>
      <c r="E59" s="13" t="s">
        <v>244</v>
      </c>
      <c r="F59" s="14" t="n">
        <v>1</v>
      </c>
      <c r="G59" s="11" t="s">
        <v>55</v>
      </c>
      <c r="H59" s="15" t="n">
        <v>9</v>
      </c>
      <c r="I59" s="15" t="n">
        <f aca="false">F59*H59</f>
        <v>9</v>
      </c>
      <c r="J59" s="16" t="s">
        <v>56</v>
      </c>
      <c r="K59" s="13" t="s">
        <v>103</v>
      </c>
      <c r="L59" s="13"/>
    </row>
    <row r="60" customFormat="false" ht="15" hidden="false" customHeight="true" outlineLevel="0" collapsed="false">
      <c r="B60" s="17" t="s">
        <v>203</v>
      </c>
      <c r="C60" s="17" t="s">
        <v>245</v>
      </c>
      <c r="D60" s="18" t="s">
        <v>246</v>
      </c>
      <c r="E60" s="19" t="s">
        <v>247</v>
      </c>
      <c r="F60" s="20" t="n">
        <v>1</v>
      </c>
      <c r="G60" s="17" t="s">
        <v>55</v>
      </c>
      <c r="H60" s="21" t="n">
        <v>12</v>
      </c>
      <c r="I60" s="21" t="n">
        <f aca="false">F60*H60</f>
        <v>12</v>
      </c>
      <c r="J60" s="16" t="s">
        <v>56</v>
      </c>
      <c r="K60" s="19" t="s">
        <v>103</v>
      </c>
      <c r="L60" s="19" t="s">
        <v>248</v>
      </c>
    </row>
    <row r="61" customFormat="false" ht="15" hidden="false" customHeight="true" outlineLevel="0" collapsed="false">
      <c r="B61" s="11" t="s">
        <v>203</v>
      </c>
      <c r="C61" s="11" t="s">
        <v>249</v>
      </c>
      <c r="D61" s="12" t="s">
        <v>250</v>
      </c>
      <c r="E61" s="13" t="s">
        <v>251</v>
      </c>
      <c r="F61" s="14" t="n">
        <v>1</v>
      </c>
      <c r="G61" s="11" t="s">
        <v>55</v>
      </c>
      <c r="H61" s="15" t="n">
        <v>8</v>
      </c>
      <c r="I61" s="15" t="n">
        <f aca="false">F61*H61</f>
        <v>8</v>
      </c>
      <c r="J61" s="16" t="s">
        <v>56</v>
      </c>
      <c r="K61" s="13" t="s">
        <v>103</v>
      </c>
      <c r="L61" s="13"/>
    </row>
    <row r="62" customFormat="false" ht="15" hidden="false" customHeight="true" outlineLevel="0" collapsed="false">
      <c r="B62" s="17" t="s">
        <v>203</v>
      </c>
      <c r="C62" s="17" t="s">
        <v>252</v>
      </c>
      <c r="D62" s="18" t="s">
        <v>253</v>
      </c>
      <c r="E62" s="19" t="s">
        <v>254</v>
      </c>
      <c r="F62" s="20" t="n">
        <v>1</v>
      </c>
      <c r="G62" s="17" t="s">
        <v>55</v>
      </c>
      <c r="H62" s="21" t="n">
        <v>6</v>
      </c>
      <c r="I62" s="21" t="n">
        <f aca="false">F62*H62</f>
        <v>6</v>
      </c>
      <c r="J62" s="16" t="s">
        <v>56</v>
      </c>
      <c r="K62" s="19" t="s">
        <v>208</v>
      </c>
      <c r="L62" s="19" t="s">
        <v>255</v>
      </c>
    </row>
    <row r="63" customFormat="false" ht="15" hidden="false" customHeight="true" outlineLevel="0" collapsed="false">
      <c r="B63" s="11" t="s">
        <v>203</v>
      </c>
      <c r="C63" s="11" t="s">
        <v>256</v>
      </c>
      <c r="D63" s="12" t="s">
        <v>257</v>
      </c>
      <c r="E63" s="13" t="s">
        <v>258</v>
      </c>
      <c r="F63" s="14" t="n">
        <v>1</v>
      </c>
      <c r="G63" s="11" t="s">
        <v>79</v>
      </c>
      <c r="H63" s="15" t="n">
        <v>4</v>
      </c>
      <c r="I63" s="15" t="n">
        <f aca="false">F63*H63</f>
        <v>4</v>
      </c>
      <c r="J63" s="16" t="s">
        <v>56</v>
      </c>
      <c r="K63" s="13" t="s">
        <v>208</v>
      </c>
      <c r="L63" s="13"/>
    </row>
    <row r="64" customFormat="false" ht="15" hidden="false" customHeight="true" outlineLevel="0" collapsed="false">
      <c r="B64" s="17" t="s">
        <v>203</v>
      </c>
      <c r="C64" s="17" t="s">
        <v>259</v>
      </c>
      <c r="D64" s="18" t="s">
        <v>260</v>
      </c>
      <c r="E64" s="19" t="s">
        <v>261</v>
      </c>
      <c r="F64" s="20" t="n">
        <v>1</v>
      </c>
      <c r="G64" s="17" t="s">
        <v>79</v>
      </c>
      <c r="H64" s="21" t="n">
        <v>4</v>
      </c>
      <c r="I64" s="21" t="n">
        <f aca="false">F64*H64</f>
        <v>4</v>
      </c>
      <c r="J64" s="16" t="s">
        <v>56</v>
      </c>
      <c r="K64" s="19" t="s">
        <v>103</v>
      </c>
      <c r="L64" s="19" t="s">
        <v>262</v>
      </c>
    </row>
    <row r="65" customFormat="false" ht="15" hidden="false" customHeight="true" outlineLevel="0" collapsed="false">
      <c r="B65" s="11" t="s">
        <v>203</v>
      </c>
      <c r="C65" s="11" t="s">
        <v>263</v>
      </c>
      <c r="D65" s="12" t="s">
        <v>264</v>
      </c>
      <c r="E65" s="13" t="s">
        <v>265</v>
      </c>
      <c r="F65" s="14" t="n">
        <v>2</v>
      </c>
      <c r="G65" s="11" t="s">
        <v>55</v>
      </c>
      <c r="H65" s="15" t="n">
        <v>1</v>
      </c>
      <c r="I65" s="15" t="n">
        <f aca="false">F65*H65</f>
        <v>2</v>
      </c>
      <c r="J65" s="16" t="s">
        <v>56</v>
      </c>
      <c r="K65" s="13" t="s">
        <v>208</v>
      </c>
      <c r="L65" s="13"/>
    </row>
    <row r="66" customFormat="false" ht="15" hidden="false" customHeight="true" outlineLevel="0" collapsed="false">
      <c r="B66" s="17" t="s">
        <v>203</v>
      </c>
      <c r="C66" s="17" t="s">
        <v>266</v>
      </c>
      <c r="D66" s="18" t="s">
        <v>267</v>
      </c>
      <c r="E66" s="19" t="s">
        <v>268</v>
      </c>
      <c r="F66" s="20" t="n">
        <v>1</v>
      </c>
      <c r="G66" s="17" t="s">
        <v>79</v>
      </c>
      <c r="H66" s="21" t="n">
        <v>8</v>
      </c>
      <c r="I66" s="21" t="n">
        <f aca="false">F66*H66</f>
        <v>8</v>
      </c>
      <c r="J66" s="16" t="s">
        <v>56</v>
      </c>
      <c r="K66" s="19" t="s">
        <v>103</v>
      </c>
      <c r="L66" s="19"/>
    </row>
    <row r="67" customFormat="false" ht="15" hidden="false" customHeight="true" outlineLevel="0" collapsed="false">
      <c r="B67" s="11" t="s">
        <v>203</v>
      </c>
      <c r="C67" s="11" t="s">
        <v>269</v>
      </c>
      <c r="D67" s="12" t="s">
        <v>270</v>
      </c>
      <c r="E67" s="13" t="s">
        <v>271</v>
      </c>
      <c r="F67" s="14" t="n">
        <v>1</v>
      </c>
      <c r="G67" s="11" t="s">
        <v>79</v>
      </c>
      <c r="H67" s="15" t="n">
        <v>10</v>
      </c>
      <c r="I67" s="15" t="n">
        <f aca="false">F67*H67</f>
        <v>10</v>
      </c>
      <c r="J67" s="16" t="s">
        <v>56</v>
      </c>
      <c r="K67" s="13" t="s">
        <v>103</v>
      </c>
      <c r="L67" s="13"/>
    </row>
    <row r="68" customFormat="false" ht="15" hidden="false" customHeight="true" outlineLevel="0" collapsed="false">
      <c r="B68" s="17" t="s">
        <v>203</v>
      </c>
      <c r="C68" s="17" t="s">
        <v>272</v>
      </c>
      <c r="D68" s="18" t="s">
        <v>273</v>
      </c>
      <c r="E68" s="19" t="s">
        <v>274</v>
      </c>
      <c r="F68" s="20" t="n">
        <v>1</v>
      </c>
      <c r="G68" s="17" t="s">
        <v>55</v>
      </c>
      <c r="H68" s="21" t="n">
        <v>16</v>
      </c>
      <c r="I68" s="21" t="n">
        <f aca="false">F68*H68</f>
        <v>16</v>
      </c>
      <c r="J68" s="16" t="s">
        <v>56</v>
      </c>
      <c r="K68" s="19" t="s">
        <v>103</v>
      </c>
      <c r="L68" s="19"/>
    </row>
    <row r="69" customFormat="false" ht="15" hidden="false" customHeight="true" outlineLevel="0" collapsed="false">
      <c r="B69" s="11" t="s">
        <v>203</v>
      </c>
      <c r="C69" s="11" t="s">
        <v>275</v>
      </c>
      <c r="D69" s="12" t="s">
        <v>276</v>
      </c>
      <c r="E69" s="13" t="s">
        <v>277</v>
      </c>
      <c r="F69" s="14" t="n">
        <v>1</v>
      </c>
      <c r="G69" s="11" t="s">
        <v>139</v>
      </c>
      <c r="H69" s="15" t="n">
        <v>12</v>
      </c>
      <c r="I69" s="15" t="n">
        <f aca="false">F69*H69</f>
        <v>12</v>
      </c>
      <c r="J69" s="16" t="s">
        <v>56</v>
      </c>
      <c r="K69" s="13" t="s">
        <v>278</v>
      </c>
      <c r="L69" s="13"/>
    </row>
    <row r="70" customFormat="false" ht="15" hidden="false" customHeight="true" outlineLevel="0" collapsed="false">
      <c r="B70" s="17" t="s">
        <v>203</v>
      </c>
      <c r="C70" s="17" t="s">
        <v>279</v>
      </c>
      <c r="D70" s="18" t="s">
        <v>280</v>
      </c>
      <c r="E70" s="19" t="s">
        <v>281</v>
      </c>
      <c r="F70" s="20" t="n">
        <v>1</v>
      </c>
      <c r="G70" s="17" t="s">
        <v>55</v>
      </c>
      <c r="H70" s="21" t="n">
        <v>4</v>
      </c>
      <c r="I70" s="21" t="n">
        <f aca="false">F70*H70</f>
        <v>4</v>
      </c>
      <c r="J70" s="16" t="s">
        <v>56</v>
      </c>
      <c r="K70" s="19" t="s">
        <v>103</v>
      </c>
      <c r="L70" s="19"/>
    </row>
    <row r="71" customFormat="false" ht="15" hidden="false" customHeight="true" outlineLevel="0" collapsed="false">
      <c r="B71" s="11" t="s">
        <v>203</v>
      </c>
      <c r="C71" s="11" t="s">
        <v>282</v>
      </c>
      <c r="D71" s="12" t="s">
        <v>283</v>
      </c>
      <c r="E71" s="13" t="s">
        <v>284</v>
      </c>
      <c r="F71" s="14" t="n">
        <v>1</v>
      </c>
      <c r="G71" s="11" t="s">
        <v>55</v>
      </c>
      <c r="H71" s="15" t="n">
        <v>2</v>
      </c>
      <c r="I71" s="15" t="n">
        <f aca="false">F71*H71</f>
        <v>2</v>
      </c>
      <c r="J71" s="16" t="s">
        <v>56</v>
      </c>
      <c r="K71" s="13" t="s">
        <v>103</v>
      </c>
      <c r="L71" s="13"/>
    </row>
    <row r="73" customFormat="false" ht="15" hidden="false" customHeight="true" outlineLevel="0" collapsed="false">
      <c r="B73" s="9" t="s">
        <v>285</v>
      </c>
      <c r="C73" s="9" t="s">
        <v>286</v>
      </c>
      <c r="D73" s="10"/>
      <c r="E73" s="10"/>
      <c r="F73" s="10"/>
      <c r="G73" s="10"/>
      <c r="H73" s="10"/>
      <c r="I73" s="10"/>
      <c r="J73" s="10"/>
      <c r="K73" s="10"/>
      <c r="L73" s="10"/>
    </row>
    <row r="74" customFormat="false" ht="15" hidden="false" customHeight="true" outlineLevel="0" collapsed="false">
      <c r="B74" s="17" t="s">
        <v>285</v>
      </c>
      <c r="C74" s="17" t="s">
        <v>287</v>
      </c>
      <c r="D74" s="18" t="s">
        <v>288</v>
      </c>
      <c r="E74" s="19" t="s">
        <v>289</v>
      </c>
      <c r="F74" s="20" t="n">
        <v>3</v>
      </c>
      <c r="G74" s="17" t="s">
        <v>55</v>
      </c>
      <c r="H74" s="21" t="n">
        <v>9</v>
      </c>
      <c r="I74" s="21" t="n">
        <f aca="false">F74*H74</f>
        <v>27</v>
      </c>
      <c r="J74" s="23" t="s">
        <v>290</v>
      </c>
      <c r="K74" s="19" t="s">
        <v>103</v>
      </c>
      <c r="L74" s="19" t="s">
        <v>291</v>
      </c>
    </row>
    <row r="75" customFormat="false" ht="21.75" hidden="false" customHeight="true" outlineLevel="0" collapsed="false">
      <c r="B75" s="11" t="s">
        <v>285</v>
      </c>
      <c r="C75" s="11" t="s">
        <v>292</v>
      </c>
      <c r="D75" s="12" t="s">
        <v>293</v>
      </c>
      <c r="E75" s="13" t="s">
        <v>294</v>
      </c>
      <c r="F75" s="14" t="n">
        <v>2</v>
      </c>
      <c r="G75" s="11" t="s">
        <v>55</v>
      </c>
      <c r="H75" s="15" t="n">
        <v>260</v>
      </c>
      <c r="I75" s="15" t="n">
        <f aca="false">F75*H75</f>
        <v>520</v>
      </c>
      <c r="J75" s="22" t="s">
        <v>74</v>
      </c>
      <c r="K75" s="13" t="s">
        <v>295</v>
      </c>
      <c r="L75" s="13" t="s">
        <v>296</v>
      </c>
    </row>
    <row r="76" customFormat="false" ht="15" hidden="false" customHeight="true" outlineLevel="0" collapsed="false">
      <c r="B76" s="17" t="s">
        <v>285</v>
      </c>
      <c r="C76" s="17" t="s">
        <v>297</v>
      </c>
      <c r="D76" s="18" t="s">
        <v>298</v>
      </c>
      <c r="E76" s="19" t="s">
        <v>299</v>
      </c>
      <c r="F76" s="20" t="n">
        <v>2</v>
      </c>
      <c r="G76" s="17" t="s">
        <v>55</v>
      </c>
      <c r="H76" s="21" t="n">
        <v>18</v>
      </c>
      <c r="I76" s="21" t="n">
        <f aca="false">F76*H76</f>
        <v>36</v>
      </c>
      <c r="J76" s="23" t="s">
        <v>290</v>
      </c>
      <c r="K76" s="19" t="s">
        <v>103</v>
      </c>
      <c r="L76" s="19" t="s">
        <v>300</v>
      </c>
    </row>
    <row r="77" customFormat="false" ht="15" hidden="false" customHeight="true" outlineLevel="0" collapsed="false">
      <c r="B77" s="11" t="s">
        <v>285</v>
      </c>
      <c r="C77" s="11" t="s">
        <v>301</v>
      </c>
      <c r="D77" s="12" t="s">
        <v>302</v>
      </c>
      <c r="E77" s="13" t="s">
        <v>303</v>
      </c>
      <c r="F77" s="14" t="n">
        <v>3</v>
      </c>
      <c r="G77" s="11" t="s">
        <v>55</v>
      </c>
      <c r="H77" s="15" t="n">
        <v>7</v>
      </c>
      <c r="I77" s="15" t="n">
        <f aca="false">F77*H77</f>
        <v>21</v>
      </c>
      <c r="J77" s="23" t="s">
        <v>290</v>
      </c>
      <c r="K77" s="13" t="s">
        <v>103</v>
      </c>
      <c r="L77" s="13"/>
    </row>
    <row r="78" customFormat="false" ht="15" hidden="false" customHeight="true" outlineLevel="0" collapsed="false">
      <c r="B78" s="17" t="s">
        <v>285</v>
      </c>
      <c r="C78" s="17" t="s">
        <v>304</v>
      </c>
      <c r="D78" s="18" t="s">
        <v>305</v>
      </c>
      <c r="E78" s="19" t="s">
        <v>306</v>
      </c>
      <c r="F78" s="20" t="n">
        <v>3</v>
      </c>
      <c r="G78" s="17" t="s">
        <v>55</v>
      </c>
      <c r="H78" s="21" t="n">
        <v>2</v>
      </c>
      <c r="I78" s="21" t="n">
        <f aca="false">F78*H78</f>
        <v>6</v>
      </c>
      <c r="J78" s="23" t="s">
        <v>290</v>
      </c>
      <c r="K78" s="19" t="s">
        <v>103</v>
      </c>
      <c r="L78" s="19" t="s">
        <v>307</v>
      </c>
    </row>
    <row r="79" customFormat="false" ht="15" hidden="false" customHeight="true" outlineLevel="0" collapsed="false">
      <c r="B79" s="11" t="s">
        <v>285</v>
      </c>
      <c r="C79" s="11" t="s">
        <v>308</v>
      </c>
      <c r="D79" s="12" t="s">
        <v>309</v>
      </c>
      <c r="E79" s="13" t="s">
        <v>310</v>
      </c>
      <c r="F79" s="14" t="n">
        <v>1</v>
      </c>
      <c r="G79" s="11" t="s">
        <v>55</v>
      </c>
      <c r="H79" s="15" t="n">
        <v>0</v>
      </c>
      <c r="I79" s="15" t="n">
        <f aca="false">F79*H79</f>
        <v>0</v>
      </c>
      <c r="J79" s="23" t="s">
        <v>290</v>
      </c>
      <c r="K79" s="13" t="s">
        <v>311</v>
      </c>
      <c r="L79" s="13" t="s">
        <v>312</v>
      </c>
    </row>
    <row r="80" customFormat="false" ht="15" hidden="false" customHeight="true" outlineLevel="0" collapsed="false">
      <c r="B80" s="17" t="s">
        <v>285</v>
      </c>
      <c r="C80" s="17" t="s">
        <v>313</v>
      </c>
      <c r="D80" s="18" t="s">
        <v>314</v>
      </c>
      <c r="E80" s="19" t="s">
        <v>315</v>
      </c>
      <c r="F80" s="20" t="n">
        <v>1</v>
      </c>
      <c r="G80" s="17" t="s">
        <v>55</v>
      </c>
      <c r="H80" s="21" t="n">
        <v>6</v>
      </c>
      <c r="I80" s="21" t="n">
        <f aca="false">F80*H80</f>
        <v>6</v>
      </c>
      <c r="J80" s="23" t="s">
        <v>290</v>
      </c>
      <c r="K80" s="19" t="s">
        <v>103</v>
      </c>
      <c r="L80" s="19"/>
    </row>
    <row r="81" customFormat="false" ht="15" hidden="false" customHeight="true" outlineLevel="0" collapsed="false">
      <c r="B81" s="11" t="s">
        <v>285</v>
      </c>
      <c r="C81" s="11" t="s">
        <v>316</v>
      </c>
      <c r="D81" s="12" t="s">
        <v>317</v>
      </c>
      <c r="E81" s="13" t="s">
        <v>318</v>
      </c>
      <c r="F81" s="14" t="n">
        <v>1</v>
      </c>
      <c r="G81" s="11" t="s">
        <v>79</v>
      </c>
      <c r="H81" s="15" t="n">
        <v>28</v>
      </c>
      <c r="I81" s="15" t="n">
        <f aca="false">F81*H81</f>
        <v>28</v>
      </c>
      <c r="J81" s="23" t="s">
        <v>290</v>
      </c>
      <c r="K81" s="13" t="s">
        <v>295</v>
      </c>
      <c r="L81" s="13" t="s">
        <v>319</v>
      </c>
    </row>
    <row r="82" customFormat="false" ht="15" hidden="false" customHeight="true" outlineLevel="0" collapsed="false">
      <c r="B82" s="17" t="s">
        <v>285</v>
      </c>
      <c r="C82" s="17" t="s">
        <v>320</v>
      </c>
      <c r="D82" s="18" t="s">
        <v>321</v>
      </c>
      <c r="E82" s="19" t="s">
        <v>322</v>
      </c>
      <c r="F82" s="20" t="n">
        <v>2</v>
      </c>
      <c r="G82" s="17" t="s">
        <v>55</v>
      </c>
      <c r="H82" s="21" t="n">
        <v>8</v>
      </c>
      <c r="I82" s="21" t="n">
        <f aca="false">F82*H82</f>
        <v>16</v>
      </c>
      <c r="J82" s="23" t="s">
        <v>290</v>
      </c>
      <c r="K82" s="19" t="s">
        <v>103</v>
      </c>
      <c r="L82" s="19" t="s">
        <v>323</v>
      </c>
    </row>
    <row r="84" customFormat="false" ht="15" hidden="false" customHeight="true" outlineLevel="0" collapsed="false">
      <c r="B84" s="9" t="s">
        <v>324</v>
      </c>
      <c r="C84" s="9" t="s">
        <v>325</v>
      </c>
      <c r="D84" s="10"/>
      <c r="E84" s="10"/>
      <c r="F84" s="10"/>
      <c r="G84" s="10"/>
      <c r="H84" s="10"/>
      <c r="I84" s="10"/>
      <c r="J84" s="10"/>
      <c r="K84" s="10"/>
      <c r="L84" s="10"/>
    </row>
    <row r="85" customFormat="false" ht="15" hidden="false" customHeight="true" outlineLevel="0" collapsed="false">
      <c r="B85" s="11" t="s">
        <v>324</v>
      </c>
      <c r="C85" s="11" t="s">
        <v>326</v>
      </c>
      <c r="D85" s="12" t="s">
        <v>327</v>
      </c>
      <c r="E85" s="13" t="s">
        <v>328</v>
      </c>
      <c r="F85" s="14" t="n">
        <v>2</v>
      </c>
      <c r="G85" s="11" t="s">
        <v>55</v>
      </c>
      <c r="H85" s="15" t="n">
        <v>22</v>
      </c>
      <c r="I85" s="15" t="n">
        <f aca="false">F85*H85</f>
        <v>44</v>
      </c>
      <c r="J85" s="16" t="s">
        <v>56</v>
      </c>
      <c r="K85" s="13" t="s">
        <v>103</v>
      </c>
      <c r="L85" s="13" t="s">
        <v>329</v>
      </c>
    </row>
    <row r="86" customFormat="false" ht="15" hidden="false" customHeight="true" outlineLevel="0" collapsed="false">
      <c r="B86" s="17" t="s">
        <v>324</v>
      </c>
      <c r="C86" s="17" t="s">
        <v>330</v>
      </c>
      <c r="D86" s="18" t="s">
        <v>331</v>
      </c>
      <c r="E86" s="19" t="s">
        <v>328</v>
      </c>
      <c r="F86" s="20" t="n">
        <v>1</v>
      </c>
      <c r="G86" s="17" t="s">
        <v>55</v>
      </c>
      <c r="H86" s="21" t="n">
        <v>28</v>
      </c>
      <c r="I86" s="21" t="n">
        <f aca="false">F86*H86</f>
        <v>28</v>
      </c>
      <c r="J86" s="22" t="s">
        <v>74</v>
      </c>
      <c r="K86" s="19" t="s">
        <v>103</v>
      </c>
      <c r="L86" s="19" t="s">
        <v>332</v>
      </c>
    </row>
    <row r="87" customFormat="false" ht="15" hidden="false" customHeight="true" outlineLevel="0" collapsed="false">
      <c r="B87" s="11" t="s">
        <v>324</v>
      </c>
      <c r="C87" s="11" t="s">
        <v>333</v>
      </c>
      <c r="D87" s="12" t="s">
        <v>334</v>
      </c>
      <c r="E87" s="13" t="s">
        <v>335</v>
      </c>
      <c r="F87" s="14" t="n">
        <v>1</v>
      </c>
      <c r="G87" s="11" t="s">
        <v>55</v>
      </c>
      <c r="H87" s="15" t="n">
        <v>30</v>
      </c>
      <c r="I87" s="15" t="n">
        <f aca="false">F87*H87</f>
        <v>30</v>
      </c>
      <c r="J87" s="16" t="s">
        <v>56</v>
      </c>
      <c r="K87" s="13" t="s">
        <v>336</v>
      </c>
      <c r="L87" s="13" t="s">
        <v>337</v>
      </c>
    </row>
    <row r="88" customFormat="false" ht="15" hidden="false" customHeight="true" outlineLevel="0" collapsed="false">
      <c r="B88" s="17" t="s">
        <v>324</v>
      </c>
      <c r="C88" s="17" t="s">
        <v>338</v>
      </c>
      <c r="D88" s="18" t="s">
        <v>339</v>
      </c>
      <c r="E88" s="19" t="s">
        <v>340</v>
      </c>
      <c r="F88" s="20" t="n">
        <v>1</v>
      </c>
      <c r="G88" s="17" t="s">
        <v>55</v>
      </c>
      <c r="H88" s="21" t="n">
        <v>6</v>
      </c>
      <c r="I88" s="21" t="n">
        <f aca="false">F88*H88</f>
        <v>6</v>
      </c>
      <c r="J88" s="16" t="s">
        <v>56</v>
      </c>
      <c r="K88" s="19" t="s">
        <v>103</v>
      </c>
      <c r="L88" s="19" t="s">
        <v>341</v>
      </c>
    </row>
    <row r="89" customFormat="false" ht="15" hidden="false" customHeight="true" outlineLevel="0" collapsed="false">
      <c r="B89" s="11" t="s">
        <v>324</v>
      </c>
      <c r="C89" s="11" t="s">
        <v>342</v>
      </c>
      <c r="D89" s="12" t="s">
        <v>343</v>
      </c>
      <c r="E89" s="13" t="s">
        <v>344</v>
      </c>
      <c r="F89" s="14" t="n">
        <v>1</v>
      </c>
      <c r="G89" s="11" t="s">
        <v>55</v>
      </c>
      <c r="H89" s="15" t="n">
        <v>32</v>
      </c>
      <c r="I89" s="15" t="n">
        <f aca="false">F89*H89</f>
        <v>32</v>
      </c>
      <c r="J89" s="16" t="s">
        <v>56</v>
      </c>
      <c r="K89" s="13" t="s">
        <v>103</v>
      </c>
      <c r="L89" s="13" t="s">
        <v>345</v>
      </c>
    </row>
    <row r="90" customFormat="false" ht="15" hidden="false" customHeight="true" outlineLevel="0" collapsed="false">
      <c r="B90" s="17" t="s">
        <v>324</v>
      </c>
      <c r="C90" s="17" t="s">
        <v>346</v>
      </c>
      <c r="D90" s="18" t="s">
        <v>347</v>
      </c>
      <c r="E90" s="19" t="s">
        <v>348</v>
      </c>
      <c r="F90" s="20" t="n">
        <v>1</v>
      </c>
      <c r="G90" s="17" t="s">
        <v>79</v>
      </c>
      <c r="H90" s="21" t="n">
        <v>9</v>
      </c>
      <c r="I90" s="21" t="n">
        <f aca="false">F90*H90</f>
        <v>9</v>
      </c>
      <c r="J90" s="16" t="s">
        <v>56</v>
      </c>
      <c r="K90" s="19" t="s">
        <v>103</v>
      </c>
      <c r="L90" s="19" t="s">
        <v>349</v>
      </c>
    </row>
    <row r="91" customFormat="false" ht="15" hidden="false" customHeight="true" outlineLevel="0" collapsed="false">
      <c r="B91" s="11" t="s">
        <v>324</v>
      </c>
      <c r="C91" s="11" t="s">
        <v>350</v>
      </c>
      <c r="D91" s="12" t="s">
        <v>351</v>
      </c>
      <c r="E91" s="13" t="s">
        <v>352</v>
      </c>
      <c r="F91" s="14" t="n">
        <v>1</v>
      </c>
      <c r="G91" s="11" t="s">
        <v>55</v>
      </c>
      <c r="H91" s="15" t="n">
        <v>45</v>
      </c>
      <c r="I91" s="15" t="n">
        <f aca="false">F91*H91</f>
        <v>45</v>
      </c>
      <c r="J91" s="16" t="s">
        <v>56</v>
      </c>
      <c r="K91" s="13" t="s">
        <v>103</v>
      </c>
      <c r="L91" s="13" t="s">
        <v>353</v>
      </c>
    </row>
    <row r="92" customFormat="false" ht="15" hidden="false" customHeight="true" outlineLevel="0" collapsed="false">
      <c r="B92" s="17" t="s">
        <v>324</v>
      </c>
      <c r="C92" s="17" t="s">
        <v>354</v>
      </c>
      <c r="D92" s="18" t="s">
        <v>355</v>
      </c>
      <c r="E92" s="19" t="s">
        <v>356</v>
      </c>
      <c r="F92" s="20" t="n">
        <v>1</v>
      </c>
      <c r="G92" s="17" t="s">
        <v>79</v>
      </c>
      <c r="H92" s="21" t="n">
        <v>8</v>
      </c>
      <c r="I92" s="21" t="n">
        <f aca="false">F92*H92</f>
        <v>8</v>
      </c>
      <c r="J92" s="16" t="s">
        <v>56</v>
      </c>
      <c r="K92" s="19" t="s">
        <v>120</v>
      </c>
      <c r="L92" s="19" t="s">
        <v>357</v>
      </c>
    </row>
    <row r="93" customFormat="false" ht="15" hidden="false" customHeight="true" outlineLevel="0" collapsed="false">
      <c r="B93" s="11" t="s">
        <v>324</v>
      </c>
      <c r="C93" s="11" t="s">
        <v>358</v>
      </c>
      <c r="D93" s="12" t="s">
        <v>359</v>
      </c>
      <c r="E93" s="13" t="s">
        <v>360</v>
      </c>
      <c r="F93" s="14" t="n">
        <v>1</v>
      </c>
      <c r="G93" s="11" t="s">
        <v>55</v>
      </c>
      <c r="H93" s="15" t="n">
        <v>9</v>
      </c>
      <c r="I93" s="15" t="n">
        <f aca="false">F93*H93</f>
        <v>9</v>
      </c>
      <c r="J93" s="16" t="s">
        <v>56</v>
      </c>
      <c r="K93" s="13" t="s">
        <v>103</v>
      </c>
      <c r="L93" s="13"/>
    </row>
    <row r="94" customFormat="false" ht="15" hidden="false" customHeight="true" outlineLevel="0" collapsed="false">
      <c r="B94" s="17" t="s">
        <v>324</v>
      </c>
      <c r="C94" s="17" t="s">
        <v>361</v>
      </c>
      <c r="D94" s="18" t="s">
        <v>362</v>
      </c>
      <c r="E94" s="19" t="s">
        <v>363</v>
      </c>
      <c r="F94" s="20" t="n">
        <v>1</v>
      </c>
      <c r="G94" s="17" t="s">
        <v>55</v>
      </c>
      <c r="H94" s="21" t="n">
        <v>18</v>
      </c>
      <c r="I94" s="21" t="n">
        <f aca="false">F94*H94</f>
        <v>18</v>
      </c>
      <c r="J94" s="16" t="s">
        <v>56</v>
      </c>
      <c r="K94" s="19" t="s">
        <v>103</v>
      </c>
      <c r="L94" s="19" t="s">
        <v>364</v>
      </c>
    </row>
    <row r="95" customFormat="false" ht="15" hidden="false" customHeight="true" outlineLevel="0" collapsed="false">
      <c r="B95" s="11" t="s">
        <v>324</v>
      </c>
      <c r="C95" s="11" t="s">
        <v>365</v>
      </c>
      <c r="D95" s="12" t="s">
        <v>366</v>
      </c>
      <c r="E95" s="13" t="s">
        <v>367</v>
      </c>
      <c r="F95" s="14" t="n">
        <v>1</v>
      </c>
      <c r="G95" s="11" t="s">
        <v>79</v>
      </c>
      <c r="H95" s="15" t="n">
        <v>12</v>
      </c>
      <c r="I95" s="15" t="n">
        <f aca="false">F95*H95</f>
        <v>12</v>
      </c>
      <c r="J95" s="16" t="s">
        <v>56</v>
      </c>
      <c r="K95" s="13" t="s">
        <v>103</v>
      </c>
      <c r="L95" s="13" t="s">
        <v>368</v>
      </c>
    </row>
    <row r="96" customFormat="false" ht="30" hidden="false" customHeight="true" outlineLevel="0" collapsed="false">
      <c r="B96" s="11" t="s">
        <v>324</v>
      </c>
      <c r="C96" s="11" t="s">
        <v>369</v>
      </c>
      <c r="D96" s="12" t="s">
        <v>370</v>
      </c>
      <c r="E96" s="13" t="s">
        <v>371</v>
      </c>
      <c r="F96" s="14" t="n">
        <v>1</v>
      </c>
      <c r="G96" s="11" t="s">
        <v>55</v>
      </c>
      <c r="H96" s="15" t="n">
        <v>30</v>
      </c>
      <c r="I96" s="15" t="n">
        <f aca="false">F96*H96</f>
        <v>30</v>
      </c>
      <c r="J96" s="16" t="s">
        <v>56</v>
      </c>
      <c r="K96" s="13" t="s">
        <v>372</v>
      </c>
      <c r="L96" s="13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6" min="3" style="1" width="16"/>
    <col collapsed="false" customWidth="true" hidden="false" outlineLevel="0" max="7" min="7" style="1" width="40"/>
    <col collapsed="false" customWidth="true" hidden="false" outlineLevel="0" max="8" min="8" style="1" width="64"/>
  </cols>
  <sheetData>
    <row r="2" customFormat="false" ht="17.25" hidden="false" customHeight="true" outlineLevel="0" collapsed="false">
      <c r="B2" s="6" t="s">
        <v>374</v>
      </c>
    </row>
    <row r="4" customFormat="false" ht="15" hidden="false" customHeight="true" outlineLevel="0" collapsed="false">
      <c r="B4" s="24" t="s">
        <v>375</v>
      </c>
    </row>
    <row r="5" customFormat="false" ht="15" hidden="false" customHeight="true" outlineLevel="0" collapsed="false">
      <c r="B5" s="25" t="s">
        <v>376</v>
      </c>
      <c r="C5" s="26" t="s">
        <v>377</v>
      </c>
      <c r="D5" s="27" t="n">
        <v>22</v>
      </c>
      <c r="G5" s="28" t="s">
        <v>378</v>
      </c>
    </row>
    <row r="6" customFormat="false" ht="15" hidden="false" customHeight="true" outlineLevel="0" collapsed="false">
      <c r="B6" s="25" t="s">
        <v>379</v>
      </c>
      <c r="C6" s="26" t="s">
        <v>380</v>
      </c>
      <c r="D6" s="29" t="n">
        <v>0.08</v>
      </c>
      <c r="G6" s="28" t="s">
        <v>381</v>
      </c>
    </row>
    <row r="7" customFormat="false" ht="15" hidden="false" customHeight="true" outlineLevel="0" collapsed="false">
      <c r="B7" s="25" t="s">
        <v>382</v>
      </c>
      <c r="C7" s="26" t="s">
        <v>380</v>
      </c>
      <c r="D7" s="29" t="n">
        <v>0.0825</v>
      </c>
      <c r="G7" s="28" t="s">
        <v>383</v>
      </c>
    </row>
    <row r="8" customFormat="false" ht="15" hidden="false" customHeight="true" outlineLevel="0" collapsed="false">
      <c r="B8" s="25" t="s">
        <v>384</v>
      </c>
      <c r="C8" s="26" t="s">
        <v>380</v>
      </c>
      <c r="D8" s="29" t="n">
        <v>0.12</v>
      </c>
      <c r="G8" s="28" t="s">
        <v>385</v>
      </c>
    </row>
    <row r="9" customFormat="false" ht="15" hidden="false" customHeight="true" outlineLevel="0" collapsed="false">
      <c r="B9" s="25" t="s">
        <v>386</v>
      </c>
      <c r="C9" s="26" t="s">
        <v>387</v>
      </c>
      <c r="D9" s="30" t="n">
        <v>1.09</v>
      </c>
      <c r="G9" s="28" t="s">
        <v>388</v>
      </c>
    </row>
    <row r="12" customFormat="false" ht="15" hidden="false" customHeight="true" outlineLevel="0" collapsed="false">
      <c r="B12" s="24" t="s">
        <v>389</v>
      </c>
    </row>
    <row r="13" customFormat="false" ht="15" hidden="false" customHeight="true" outlineLevel="0" collapsed="false">
      <c r="B13" s="31" t="s">
        <v>390</v>
      </c>
      <c r="D13" s="32" t="n">
        <f aca="false">SUMIFS(BOM!$I$6:$I$97,BOM!$B$6:$B$97,"A")</f>
        <v>21.604</v>
      </c>
    </row>
    <row r="14" customFormat="false" ht="15" hidden="false" customHeight="true" outlineLevel="0" collapsed="false">
      <c r="B14" s="31" t="s">
        <v>391</v>
      </c>
      <c r="D14" s="32" t="n">
        <f aca="false">SUMIFS(BOM!$I$6:$I$97,BOM!$B$6:$B$97,"B")</f>
        <v>99</v>
      </c>
    </row>
    <row r="15" customFormat="false" ht="15" hidden="false" customHeight="true" outlineLevel="0" collapsed="false">
      <c r="B15" s="31" t="s">
        <v>392</v>
      </c>
      <c r="D15" s="32" t="n">
        <f aca="false">SUMIFS(BOM!$I$6:$I$97,BOM!$B$6:$B$97,"C")</f>
        <v>124.97</v>
      </c>
    </row>
    <row r="16" customFormat="false" ht="15" hidden="false" customHeight="true" outlineLevel="0" collapsed="false">
      <c r="B16" s="31" t="s">
        <v>393</v>
      </c>
      <c r="D16" s="32" t="n">
        <f aca="false">SUMIFS(BOM!$I$6:$I$97,BOM!$B$6:$B$97,"D")</f>
        <v>214.99</v>
      </c>
    </row>
    <row r="17" customFormat="false" ht="15" hidden="false" customHeight="true" outlineLevel="0" collapsed="false">
      <c r="B17" s="31" t="s">
        <v>394</v>
      </c>
      <c r="D17" s="32" t="n">
        <f aca="false">SUMIFS(BOM!$I$6:$I$97,BOM!$B$6:$B$97,"E")</f>
        <v>192.6</v>
      </c>
    </row>
    <row r="18" customFormat="false" ht="15" hidden="false" customHeight="true" outlineLevel="0" collapsed="false">
      <c r="B18" s="31" t="s">
        <v>395</v>
      </c>
      <c r="D18" s="32" t="n">
        <f aca="false">SUMIFS(BOM!$I$6:$I$97,BOM!$B$6:$B$97,"F")</f>
        <v>660</v>
      </c>
    </row>
    <row r="19" customFormat="false" ht="15" hidden="false" customHeight="true" outlineLevel="0" collapsed="false">
      <c r="B19" s="31" t="s">
        <v>396</v>
      </c>
      <c r="D19" s="32" t="n">
        <f aca="false">SUMIFS(BOM!$I$6:$I$97,BOM!$B$6:$B$97,"G")</f>
        <v>271</v>
      </c>
    </row>
    <row r="20" customFormat="false" ht="15" hidden="false" customHeight="true" outlineLevel="0" collapsed="false">
      <c r="B20" s="25" t="s">
        <v>397</v>
      </c>
      <c r="D20" s="33" t="n">
        <f aca="false">SUM(D13:D19)</f>
        <v>1584.164</v>
      </c>
    </row>
    <row r="23" customFormat="false" ht="15" hidden="false" customHeight="true" outlineLevel="0" collapsed="false">
      <c r="B23" s="24" t="s">
        <v>23</v>
      </c>
    </row>
    <row r="24" customFormat="false" ht="25.5" hidden="false" customHeight="true" outlineLevel="0" collapsed="false">
      <c r="B24" s="34" t="s">
        <v>47</v>
      </c>
      <c r="C24" s="34" t="s">
        <v>398</v>
      </c>
      <c r="D24" s="34" t="s">
        <v>399</v>
      </c>
      <c r="E24" s="34" t="s">
        <v>400</v>
      </c>
      <c r="F24" s="34" t="s">
        <v>401</v>
      </c>
      <c r="G24" s="34" t="s">
        <v>402</v>
      </c>
      <c r="H24" s="34" t="s">
        <v>403</v>
      </c>
    </row>
    <row r="25" customFormat="false" ht="21.75" hidden="false" customHeight="true" outlineLevel="0" collapsed="false">
      <c r="B25" s="35" t="s">
        <v>404</v>
      </c>
      <c r="C25" s="25" t="s">
        <v>405</v>
      </c>
      <c r="D25" s="32" t="n">
        <f aca="false">SUMIFS(BOM!$I$6:$I$97,BOM!$J$6:$J$97,"CHG")</f>
        <v>846.7</v>
      </c>
      <c r="E25" s="32" t="n">
        <f aca="false">D25*(1+$D$6+$D$7)</f>
        <v>984.28875</v>
      </c>
      <c r="F25" s="32" t="n">
        <f aca="false">E25+D25*$D$8</f>
        <v>1085.89275</v>
      </c>
      <c r="G25" s="36" t="n">
        <f aca="false">F25</f>
        <v>1085.89275</v>
      </c>
      <c r="H25" s="37" t="s">
        <v>406</v>
      </c>
    </row>
    <row r="26" customFormat="false" ht="21.75" hidden="false" customHeight="true" outlineLevel="0" collapsed="false">
      <c r="B26" s="35" t="s">
        <v>407</v>
      </c>
      <c r="C26" s="25" t="s">
        <v>408</v>
      </c>
      <c r="D26" s="32" t="n">
        <f aca="false">SUMIFS(BOM!$I$6:$I$97,BOM!$J$6:$J$97,"CHG")+SUMIFS(BOM!$I$6:$I$97,BOM!$J$6:$J$97,"INST")</f>
        <v>986.7</v>
      </c>
      <c r="E26" s="32" t="n">
        <f aca="false">D26*(1+$D$6+$D$7)</f>
        <v>1147.03875</v>
      </c>
      <c r="F26" s="32" t="n">
        <f aca="false">E26+D26*$D$8</f>
        <v>1265.44275</v>
      </c>
      <c r="G26" s="36" t="n">
        <f aca="false">F26</f>
        <v>1265.44275</v>
      </c>
      <c r="H26" s="37" t="s">
        <v>409</v>
      </c>
    </row>
    <row r="27" customFormat="false" ht="21.75" hidden="false" customHeight="true" outlineLevel="0" collapsed="false">
      <c r="B27" s="35" t="s">
        <v>410</v>
      </c>
      <c r="C27" s="25" t="s">
        <v>411</v>
      </c>
      <c r="D27" s="32" t="n">
        <f aca="false">SUMIFS(BOM!$I$6:$I$97,BOM!$J$6:$J$97,"CHG")+SUMIFS(BOM!$I$6:$I$97,BOM!$J$6:$J$97,"INST")+SUMIFS(BOM!$I$6:$I$97,BOM!$J$6:$J$97,"OPT")</f>
        <v>1584.164</v>
      </c>
      <c r="E27" s="32" t="n">
        <f aca="false">D27*(1+$D$6+$D$7)</f>
        <v>1841.59065</v>
      </c>
      <c r="F27" s="32" t="n">
        <f aca="false">E27+D27*$D$8</f>
        <v>2031.69033</v>
      </c>
      <c r="G27" s="36" t="n">
        <f aca="false">F27</f>
        <v>2031.69033</v>
      </c>
      <c r="H27" s="37" t="s">
        <v>412</v>
      </c>
    </row>
    <row r="30" customFormat="false" ht="30" hidden="false" customHeight="true" outlineLevel="0" collapsed="false">
      <c r="B30" s="38" t="s">
        <v>413</v>
      </c>
      <c r="C30" s="39" t="s">
        <v>414</v>
      </c>
      <c r="D30" s="39"/>
      <c r="E30" s="39"/>
      <c r="F30" s="39"/>
      <c r="G30" s="39"/>
      <c r="H30" s="39"/>
    </row>
  </sheetData>
  <mergeCells count="1">
    <mergeCell ref="C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7" min="3" style="1" width="12"/>
    <col collapsed="false" customWidth="true" hidden="false" outlineLevel="0" max="8" min="8" style="1" width="70"/>
  </cols>
  <sheetData>
    <row r="2" customFormat="false" ht="17.25" hidden="false" customHeight="true" outlineLevel="0" collapsed="false">
      <c r="B2" s="6" t="s">
        <v>415</v>
      </c>
    </row>
    <row r="3" customFormat="false" ht="15" hidden="false" customHeight="true" outlineLevel="0" collapsed="false">
      <c r="B3" s="7" t="s">
        <v>416</v>
      </c>
    </row>
    <row r="4" customFormat="false" ht="15" hidden="false" customHeight="true" outlineLevel="0" collapsed="false">
      <c r="B4" s="24" t="s">
        <v>417</v>
      </c>
    </row>
    <row r="5" customFormat="false" ht="15" hidden="false" customHeight="true" outlineLevel="0" collapsed="false">
      <c r="B5" s="25" t="s">
        <v>418</v>
      </c>
      <c r="C5" s="40" t="s">
        <v>419</v>
      </c>
      <c r="D5" s="41" t="n">
        <v>2.4</v>
      </c>
      <c r="H5" s="28" t="s">
        <v>420</v>
      </c>
    </row>
    <row r="6" customFormat="false" ht="15" hidden="false" customHeight="true" outlineLevel="0" collapsed="false">
      <c r="B6" s="25" t="s">
        <v>421</v>
      </c>
      <c r="C6" s="40" t="s">
        <v>422</v>
      </c>
      <c r="D6" s="42" t="n">
        <v>90</v>
      </c>
      <c r="H6" s="28" t="s">
        <v>423</v>
      </c>
    </row>
    <row r="7" customFormat="false" ht="15" hidden="false" customHeight="true" outlineLevel="0" collapsed="false">
      <c r="B7" s="25" t="s">
        <v>424</v>
      </c>
      <c r="C7" s="40" t="s">
        <v>425</v>
      </c>
      <c r="D7" s="43" t="n">
        <v>4.5</v>
      </c>
      <c r="H7" s="28" t="s">
        <v>426</v>
      </c>
    </row>
    <row r="8" customFormat="false" ht="15" hidden="false" customHeight="true" outlineLevel="0" collapsed="false">
      <c r="B8" s="25" t="s">
        <v>427</v>
      </c>
      <c r="C8" s="40" t="s">
        <v>428</v>
      </c>
      <c r="D8" s="43" t="n">
        <v>13.4</v>
      </c>
      <c r="H8" s="28" t="s">
        <v>429</v>
      </c>
    </row>
    <row r="9" customFormat="false" ht="15" hidden="false" customHeight="true" outlineLevel="0" collapsed="false">
      <c r="B9" s="25" t="s">
        <v>430</v>
      </c>
      <c r="C9" s="40" t="s">
        <v>419</v>
      </c>
      <c r="D9" s="41" t="n">
        <v>1.8</v>
      </c>
      <c r="H9" s="28" t="s">
        <v>431</v>
      </c>
    </row>
    <row r="10" customFormat="false" ht="15" hidden="false" customHeight="true" outlineLevel="0" collapsed="false">
      <c r="B10" s="25" t="s">
        <v>432</v>
      </c>
      <c r="C10" s="40" t="s">
        <v>419</v>
      </c>
      <c r="D10" s="41" t="n">
        <v>3</v>
      </c>
      <c r="H10" s="28" t="s">
        <v>433</v>
      </c>
    </row>
    <row r="12" customFormat="false" ht="15" hidden="false" customHeight="true" outlineLevel="0" collapsed="false">
      <c r="B12" s="24" t="s">
        <v>434</v>
      </c>
    </row>
    <row r="13" customFormat="false" ht="15" hidden="false" customHeight="true" outlineLevel="0" collapsed="false">
      <c r="B13" s="31" t="s">
        <v>435</v>
      </c>
      <c r="C13" s="40" t="s">
        <v>436</v>
      </c>
      <c r="D13" s="44" t="n">
        <f aca="false">2*PI()*D6/60</f>
        <v>9.42477796076938</v>
      </c>
      <c r="H13" s="28"/>
    </row>
    <row r="14" customFormat="false" ht="15" hidden="false" customHeight="true" outlineLevel="0" collapsed="false">
      <c r="B14" s="31" t="s">
        <v>437</v>
      </c>
      <c r="C14" s="40" t="s">
        <v>438</v>
      </c>
      <c r="D14" s="45" t="n">
        <f aca="false">D5*D13</f>
        <v>22.6194671058465</v>
      </c>
      <c r="H14" s="28" t="s">
        <v>439</v>
      </c>
    </row>
    <row r="15" customFormat="false" ht="15" hidden="false" customHeight="true" outlineLevel="0" collapsed="false">
      <c r="B15" s="31" t="s">
        <v>440</v>
      </c>
      <c r="C15" s="40" t="s">
        <v>422</v>
      </c>
      <c r="D15" s="46" t="n">
        <f aca="false">D6*D7</f>
        <v>405</v>
      </c>
      <c r="H15" s="28" t="s">
        <v>441</v>
      </c>
    </row>
    <row r="16" customFormat="false" ht="15" hidden="false" customHeight="true" outlineLevel="0" collapsed="false">
      <c r="B16" s="31" t="s">
        <v>442</v>
      </c>
      <c r="C16" s="40" t="s">
        <v>419</v>
      </c>
      <c r="D16" s="44" t="n">
        <f aca="false">D5/D7</f>
        <v>0.533333333333333</v>
      </c>
      <c r="H16" s="28"/>
    </row>
    <row r="17" customFormat="false" ht="15" hidden="false" customHeight="true" outlineLevel="0" collapsed="false">
      <c r="B17" s="31" t="s">
        <v>443</v>
      </c>
      <c r="C17" s="40" t="s">
        <v>444</v>
      </c>
      <c r="D17" s="45" t="n">
        <f aca="false">D15/D8</f>
        <v>30.2238805970149</v>
      </c>
      <c r="H17" s="28" t="s">
        <v>445</v>
      </c>
    </row>
    <row r="18" customFormat="false" ht="15" hidden="false" customHeight="true" outlineLevel="0" collapsed="false">
      <c r="B18" s="31" t="s">
        <v>446</v>
      </c>
      <c r="C18" s="40" t="s">
        <v>447</v>
      </c>
      <c r="D18" s="46" t="n">
        <f aca="false">550*D15/3000</f>
        <v>74.25</v>
      </c>
      <c r="H18" s="28" t="s">
        <v>448</v>
      </c>
    </row>
    <row r="19" customFormat="false" ht="15" hidden="false" customHeight="true" outlineLevel="0" collapsed="false">
      <c r="B19" s="31" t="s">
        <v>449</v>
      </c>
      <c r="C19" s="40" t="s">
        <v>450</v>
      </c>
      <c r="D19" s="47" t="n">
        <f aca="false">(D18/550)^2</f>
        <v>0.018225</v>
      </c>
      <c r="H19" s="28" t="s">
        <v>451</v>
      </c>
    </row>
    <row r="21" customFormat="false" ht="15" hidden="false" customHeight="true" outlineLevel="0" collapsed="false">
      <c r="B21" s="24" t="s">
        <v>452</v>
      </c>
    </row>
    <row r="22" customFormat="false" ht="15" hidden="false" customHeight="true" outlineLevel="0" collapsed="false">
      <c r="B22" s="34" t="s">
        <v>453</v>
      </c>
      <c r="C22" s="34" t="s">
        <v>454</v>
      </c>
      <c r="D22" s="34" t="s">
        <v>455</v>
      </c>
      <c r="E22" s="34" t="s">
        <v>456</v>
      </c>
      <c r="F22" s="34"/>
      <c r="G22" s="34"/>
      <c r="H22" s="34" t="s">
        <v>457</v>
      </c>
    </row>
    <row r="23" customFormat="false" ht="25.5" hidden="false" customHeight="true" outlineLevel="0" collapsed="false">
      <c r="B23" s="5" t="s">
        <v>458</v>
      </c>
      <c r="C23" s="48" t="n">
        <v>0.9</v>
      </c>
      <c r="D23" s="44" t="n">
        <f aca="false">D14*(1-C23)</f>
        <v>2.26194671058465</v>
      </c>
      <c r="E23" s="44" t="n">
        <f aca="false">D14*C23</f>
        <v>20.3575203952619</v>
      </c>
      <c r="H23" s="28" t="s">
        <v>459</v>
      </c>
    </row>
    <row r="24" customFormat="false" ht="25.5" hidden="false" customHeight="true" outlineLevel="0" collapsed="false">
      <c r="B24" s="5" t="s">
        <v>460</v>
      </c>
      <c r="C24" s="48" t="n">
        <v>0.75</v>
      </c>
      <c r="D24" s="44" t="n">
        <f aca="false">E23*(1-C24)</f>
        <v>5.08938009881547</v>
      </c>
      <c r="E24" s="44" t="n">
        <f aca="false">E23*C24</f>
        <v>15.2681402964464</v>
      </c>
      <c r="H24" s="28" t="s">
        <v>461</v>
      </c>
    </row>
    <row r="25" customFormat="false" ht="25.5" hidden="false" customHeight="true" outlineLevel="0" collapsed="false">
      <c r="B25" s="5" t="s">
        <v>462</v>
      </c>
      <c r="C25" s="48" t="n">
        <v>0.97</v>
      </c>
      <c r="D25" s="44" t="n">
        <f aca="false">E24*(1-C25)</f>
        <v>0.458044208893392</v>
      </c>
      <c r="E25" s="44" t="n">
        <f aca="false">E24*C25</f>
        <v>14.810096087553</v>
      </c>
      <c r="H25" s="28" t="s">
        <v>463</v>
      </c>
    </row>
    <row r="26" customFormat="false" ht="25.5" hidden="false" customHeight="true" outlineLevel="0" collapsed="false">
      <c r="B26" s="5" t="s">
        <v>230</v>
      </c>
      <c r="C26" s="48" t="n">
        <v>0.93</v>
      </c>
      <c r="D26" s="44" t="n">
        <f aca="false">E25*(1-C26)</f>
        <v>1.03670672612871</v>
      </c>
      <c r="E26" s="44" t="n">
        <f aca="false">E25*C26</f>
        <v>13.7733893614243</v>
      </c>
      <c r="H26" s="28" t="s">
        <v>464</v>
      </c>
    </row>
    <row r="27" customFormat="false" ht="25.5" hidden="false" customHeight="true" outlineLevel="0" collapsed="false">
      <c r="B27" s="5" t="s">
        <v>465</v>
      </c>
      <c r="C27" s="48" t="n">
        <v>0.94</v>
      </c>
      <c r="D27" s="44" t="n">
        <f aca="false">E26*(1-C27)</f>
        <v>0.826403361685459</v>
      </c>
      <c r="E27" s="44" t="n">
        <f aca="false">E26*C27</f>
        <v>12.9469859997388</v>
      </c>
      <c r="H27" s="28" t="s">
        <v>466</v>
      </c>
    </row>
    <row r="28" customFormat="false" ht="25.5" hidden="false" customHeight="true" outlineLevel="0" collapsed="false">
      <c r="B28" s="5" t="s">
        <v>467</v>
      </c>
      <c r="C28" s="48" t="n">
        <v>0.93</v>
      </c>
      <c r="D28" s="44" t="n">
        <f aca="false">E27*(1-C28)</f>
        <v>0.906289019981718</v>
      </c>
      <c r="E28" s="44" t="n">
        <f aca="false">E27*C28</f>
        <v>12.0406969797571</v>
      </c>
      <c r="H28" s="28" t="s">
        <v>468</v>
      </c>
    </row>
    <row r="29" customFormat="false" ht="15" hidden="false" customHeight="true" outlineLevel="0" collapsed="false">
      <c r="B29" s="25" t="s">
        <v>469</v>
      </c>
      <c r="C29" s="49" t="n">
        <f aca="false">E28/D14</f>
        <v>0.5323156785</v>
      </c>
      <c r="D29" s="50" t="n">
        <f aca="false">SUM(D23:D28)</f>
        <v>10.5787701260894</v>
      </c>
      <c r="E29" s="51" t="n">
        <f aca="false">E28</f>
        <v>12.0406969797571</v>
      </c>
      <c r="H29" s="52" t="s">
        <v>470</v>
      </c>
    </row>
    <row r="31" customFormat="false" ht="15" hidden="false" customHeight="true" outlineLevel="0" collapsed="false">
      <c r="B31" s="24" t="s">
        <v>471</v>
      </c>
    </row>
    <row r="32" customFormat="false" ht="15" hidden="false" customHeight="true" outlineLevel="0" collapsed="false">
      <c r="B32" s="53" t="s">
        <v>472</v>
      </c>
      <c r="C32" s="53" t="s">
        <v>473</v>
      </c>
      <c r="D32" s="53" t="s">
        <v>474</v>
      </c>
      <c r="E32" s="53"/>
    </row>
    <row r="33" customFormat="false" ht="15" hidden="false" customHeight="true" outlineLevel="0" collapsed="false">
      <c r="B33" s="31" t="s">
        <v>475</v>
      </c>
      <c r="C33" s="54" t="n">
        <v>15.4</v>
      </c>
      <c r="D33" s="55" t="n">
        <f aca="false">C33/E29</f>
        <v>1.27899572806213</v>
      </c>
    </row>
    <row r="34" customFormat="false" ht="15" hidden="false" customHeight="true" outlineLevel="0" collapsed="false">
      <c r="B34" s="31" t="s">
        <v>476</v>
      </c>
      <c r="C34" s="54" t="n">
        <v>25</v>
      </c>
      <c r="D34" s="55" t="n">
        <f aca="false">C34/E29</f>
        <v>2.07629176633463</v>
      </c>
    </row>
    <row r="35" customFormat="false" ht="15" hidden="false" customHeight="true" outlineLevel="0" collapsed="false">
      <c r="B35" s="31" t="s">
        <v>477</v>
      </c>
      <c r="C35" s="54" t="n">
        <v>74</v>
      </c>
      <c r="D35" s="55" t="n">
        <f aca="false">C35/E29</f>
        <v>6.14582362835052</v>
      </c>
    </row>
    <row r="36" customFormat="false" ht="15" hidden="false" customHeight="true" outlineLevel="0" collapsed="false">
      <c r="B36" s="31" t="s">
        <v>478</v>
      </c>
      <c r="C36" s="54" t="n">
        <v>50</v>
      </c>
      <c r="D36" s="55" t="n">
        <f aca="false">C36/E29</f>
        <v>4.15258353266927</v>
      </c>
    </row>
    <row r="38" customFormat="false" ht="15" hidden="false" customHeight="true" outlineLevel="0" collapsed="false">
      <c r="B38" s="24" t="s">
        <v>479</v>
      </c>
    </row>
    <row r="39" customFormat="false" ht="21.75" hidden="false" customHeight="true" outlineLevel="0" collapsed="false">
      <c r="B39" s="31" t="s">
        <v>480</v>
      </c>
      <c r="C39" s="56" t="n">
        <f aca="false">D9*2*PI()*D6/60</f>
        <v>16.9646003293849</v>
      </c>
      <c r="D39" s="55" t="n">
        <f aca="false">C39*C23*C24*C25*C26*C27*C28</f>
        <v>9.03052273481784</v>
      </c>
      <c r="H39" s="28" t="s">
        <v>481</v>
      </c>
    </row>
    <row r="40" customFormat="false" ht="21.75" hidden="false" customHeight="true" outlineLevel="0" collapsed="false">
      <c r="B40" s="31" t="s">
        <v>482</v>
      </c>
      <c r="C40" s="56" t="n">
        <f aca="false">D10*2*PI()*D6/60</f>
        <v>28.2743338823081</v>
      </c>
      <c r="D40" s="55" t="n">
        <f aca="false">C40*C23*C24*C25*C26*C27*C28</f>
        <v>15.0508712246964</v>
      </c>
      <c r="H40" s="28" t="s">
        <v>481</v>
      </c>
    </row>
    <row r="42" customFormat="false" ht="15" hidden="false" customHeight="true" outlineLevel="0" collapsed="false">
      <c r="B42" s="24" t="s">
        <v>483</v>
      </c>
    </row>
    <row r="43" customFormat="false" ht="25.5" hidden="false" customHeight="true" outlineLevel="0" collapsed="false">
      <c r="B43" s="34" t="s">
        <v>484</v>
      </c>
      <c r="C43" s="34" t="s">
        <v>485</v>
      </c>
      <c r="D43" s="34" t="s">
        <v>486</v>
      </c>
      <c r="E43" s="34" t="s">
        <v>487</v>
      </c>
      <c r="F43" s="34" t="s">
        <v>488</v>
      </c>
    </row>
    <row r="44" customFormat="false" ht="15" hidden="false" customHeight="true" outlineLevel="0" collapsed="false">
      <c r="B44" s="44" t="n">
        <v>0.15</v>
      </c>
      <c r="C44" s="45" t="n">
        <f aca="false">B44*12</f>
        <v>1.8</v>
      </c>
      <c r="D44" s="45" t="n">
        <f aca="false">B44*20</f>
        <v>3</v>
      </c>
      <c r="E44" s="46" t="n">
        <f aca="false">C44*2*PI()*D6/60</f>
        <v>16.9646003293849</v>
      </c>
      <c r="F44" s="46" t="n">
        <f aca="false">D44*2*PI()*D6/60</f>
        <v>28.2743338823081</v>
      </c>
    </row>
    <row r="45" customFormat="false" ht="15" hidden="false" customHeight="true" outlineLevel="0" collapsed="false">
      <c r="B45" s="44" t="n">
        <v>0.3</v>
      </c>
      <c r="C45" s="45" t="n">
        <f aca="false">B45*12</f>
        <v>3.6</v>
      </c>
      <c r="D45" s="45" t="n">
        <f aca="false">B45*20</f>
        <v>6</v>
      </c>
      <c r="E45" s="46" t="n">
        <f aca="false">C45*2*PI()*D6/60</f>
        <v>33.9292006587698</v>
      </c>
      <c r="F45" s="46" t="n">
        <f aca="false">D45*2*PI()*D6/60</f>
        <v>56.5486677646163</v>
      </c>
    </row>
    <row r="46" customFormat="false" ht="15" hidden="false" customHeight="true" outlineLevel="0" collapsed="false">
      <c r="B46" s="44" t="n">
        <v>0.5</v>
      </c>
      <c r="C46" s="45" t="n">
        <f aca="false">B46*12</f>
        <v>6</v>
      </c>
      <c r="D46" s="45" t="n">
        <f aca="false">B46*20</f>
        <v>10</v>
      </c>
      <c r="E46" s="46" t="n">
        <f aca="false">C46*2*PI()*D6/60</f>
        <v>56.5486677646163</v>
      </c>
      <c r="F46" s="46" t="n">
        <f aca="false">D46*2*PI()*D6/60</f>
        <v>94.2477796076938</v>
      </c>
    </row>
    <row r="47" customFormat="false" ht="15" hidden="false" customHeight="true" outlineLevel="0" collapsed="false">
      <c r="B47" s="44" t="n">
        <v>1</v>
      </c>
      <c r="C47" s="45" t="n">
        <f aca="false">B47*12</f>
        <v>12</v>
      </c>
      <c r="D47" s="45" t="n">
        <f aca="false">B47*20</f>
        <v>20</v>
      </c>
      <c r="E47" s="46" t="n">
        <f aca="false">C47*2*PI()*D6/60</f>
        <v>113.097335529233</v>
      </c>
      <c r="F47" s="46" t="n">
        <f aca="false">D47*2*PI()*D6/60</f>
        <v>188.495559215388</v>
      </c>
    </row>
    <row r="48" customFormat="false" ht="15" hidden="false" customHeight="true" outlineLevel="0" collapsed="false">
      <c r="B48" s="57" t="s">
        <v>489</v>
      </c>
      <c r="C48" s="57"/>
      <c r="D48" s="57"/>
      <c r="E48" s="57"/>
      <c r="F48" s="57"/>
      <c r="G48" s="57"/>
      <c r="H48" s="57"/>
    </row>
  </sheetData>
  <mergeCells count="1">
    <mergeCell ref="B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44"/>
    <col collapsed="false" customWidth="true" hidden="false" outlineLevel="0" max="4" min="4" style="1" width="76"/>
  </cols>
  <sheetData>
    <row r="2" customFormat="false" ht="17.25" hidden="false" customHeight="true" outlineLevel="0" collapsed="false">
      <c r="B2" s="6" t="s">
        <v>490</v>
      </c>
    </row>
    <row r="3" customFormat="false" ht="15" hidden="false" customHeight="true" outlineLevel="0" collapsed="false">
      <c r="B3" s="7" t="s">
        <v>491</v>
      </c>
    </row>
    <row r="5" customFormat="false" ht="19.5" hidden="false" customHeight="true" outlineLevel="0" collapsed="false">
      <c r="B5" s="53" t="s">
        <v>492</v>
      </c>
      <c r="C5" s="53" t="s">
        <v>493</v>
      </c>
      <c r="D5" s="53" t="s">
        <v>494</v>
      </c>
    </row>
    <row r="6" customFormat="false" ht="25.5" hidden="false" customHeight="true" outlineLevel="0" collapsed="false">
      <c r="B6" s="13" t="s">
        <v>495</v>
      </c>
      <c r="C6" s="13" t="s">
        <v>496</v>
      </c>
      <c r="D6" s="58" t="s">
        <v>497</v>
      </c>
    </row>
    <row r="7" customFormat="false" ht="25.5" hidden="false" customHeight="true" outlineLevel="0" collapsed="false">
      <c r="B7" s="13" t="s">
        <v>498</v>
      </c>
      <c r="C7" s="13" t="s">
        <v>499</v>
      </c>
      <c r="D7" s="58" t="s">
        <v>500</v>
      </c>
    </row>
    <row r="8" customFormat="false" ht="25.5" hidden="false" customHeight="true" outlineLevel="0" collapsed="false">
      <c r="B8" s="13" t="s">
        <v>501</v>
      </c>
      <c r="C8" s="13" t="s">
        <v>502</v>
      </c>
      <c r="D8" s="58" t="s">
        <v>503</v>
      </c>
    </row>
    <row r="9" customFormat="false" ht="25.5" hidden="false" customHeight="true" outlineLevel="0" collapsed="false">
      <c r="B9" s="13" t="s">
        <v>504</v>
      </c>
      <c r="C9" s="13" t="s">
        <v>505</v>
      </c>
      <c r="D9" s="58" t="s">
        <v>506</v>
      </c>
    </row>
    <row r="10" customFormat="false" ht="25.5" hidden="false" customHeight="true" outlineLevel="0" collapsed="false">
      <c r="B10" s="13" t="s">
        <v>507</v>
      </c>
      <c r="C10" s="13" t="s">
        <v>508</v>
      </c>
      <c r="D10" s="58" t="s">
        <v>509</v>
      </c>
    </row>
    <row r="11" customFormat="false" ht="25.5" hidden="false" customHeight="true" outlineLevel="0" collapsed="false">
      <c r="B11" s="13" t="s">
        <v>510</v>
      </c>
      <c r="C11" s="13" t="s">
        <v>511</v>
      </c>
      <c r="D11" s="58" t="s">
        <v>512</v>
      </c>
    </row>
    <row r="12" customFormat="false" ht="25.5" hidden="false" customHeight="true" outlineLevel="0" collapsed="false">
      <c r="B12" s="13" t="s">
        <v>513</v>
      </c>
      <c r="C12" s="13" t="s">
        <v>514</v>
      </c>
      <c r="D12" s="58" t="s">
        <v>515</v>
      </c>
    </row>
    <row r="13" customFormat="false" ht="25.5" hidden="false" customHeight="true" outlineLevel="0" collapsed="false">
      <c r="B13" s="13" t="s">
        <v>516</v>
      </c>
      <c r="C13" s="13" t="s">
        <v>517</v>
      </c>
      <c r="D13" s="58" t="s">
        <v>518</v>
      </c>
    </row>
    <row r="14" customFormat="false" ht="25.5" hidden="false" customHeight="true" outlineLevel="0" collapsed="false">
      <c r="B14" s="13" t="s">
        <v>519</v>
      </c>
      <c r="C14" s="13" t="s">
        <v>520</v>
      </c>
      <c r="D14" s="58" t="s">
        <v>521</v>
      </c>
    </row>
    <row r="15" customFormat="false" ht="25.5" hidden="false" customHeight="true" outlineLevel="0" collapsed="false">
      <c r="B15" s="13" t="s">
        <v>522</v>
      </c>
      <c r="C15" s="13" t="s">
        <v>523</v>
      </c>
      <c r="D15" s="58" t="s">
        <v>524</v>
      </c>
    </row>
    <row r="16" customFormat="false" ht="25.5" hidden="false" customHeight="true" outlineLevel="0" collapsed="false">
      <c r="B16" s="13" t="s">
        <v>525</v>
      </c>
      <c r="C16" s="13" t="s">
        <v>526</v>
      </c>
      <c r="D16" s="58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2026-08-15T23:39:37Z</dcterms:created>
  <dc:creator>openpyxl</dc:creator>
  <dc:description/>
  <dc:language>en-US</dc:language>
  <cp:lastModifiedBy/>
  <dcterms:modified xsi:type="dcterms:W3CDTF">2026-08-16T00:01:27Z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