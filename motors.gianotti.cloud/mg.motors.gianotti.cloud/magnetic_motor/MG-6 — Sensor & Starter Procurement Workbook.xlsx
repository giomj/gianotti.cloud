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curement" sheetId="2" state="visible" r:id="rId2"/>
    <sheet xmlns:r="http://schemas.openxmlformats.org/officeDocument/2006/relationships" name="Channel Map" sheetId="3" state="visible" r:id="rId3"/>
    <sheet xmlns:r="http://schemas.openxmlformats.org/officeDocument/2006/relationships" name="Uncertainty" sheetId="4" state="visible" r:id="rId4"/>
    <sheet xmlns:r="http://schemas.openxmlformats.org/officeDocument/2006/relationships" name="Gates" sheetId="5" state="visible" r:id="rId5"/>
    <sheet xmlns:r="http://schemas.openxmlformats.org/officeDocument/2006/relationships" name="Tr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00"/>
    <numFmt numFmtId="165" formatCode="0.0000"/>
    <numFmt numFmtId="166" formatCode="0.000"/>
    <numFmt numFmtId="167" formatCode="0.00000"/>
    <numFmt numFmtId="168" formatCode="0.0"/>
  </numFmts>
  <fonts count="12">
    <font>
      <name val="Calibri"/>
      <family val="2"/>
      <color theme="1"/>
      <sz val="11"/>
      <scheme val="minor"/>
    </font>
    <font>
      <name val="Calibri"/>
      <b val="1"/>
      <color rgb="0028251D"/>
      <sz val="16"/>
    </font>
    <font>
      <name val="Calibri"/>
      <i val="1"/>
      <color rgb="007A7974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i val="1"/>
      <color rgb="00964219"/>
      <sz val="10"/>
    </font>
    <font>
      <name val="Calibri"/>
      <b val="1"/>
      <color rgb="0001696F"/>
      <sz val="12"/>
    </font>
    <font>
      <name val="Calibri"/>
      <i val="1"/>
      <sz val="10"/>
    </font>
    <font>
      <name val="Calibri"/>
      <i val="1"/>
      <color rgb="00437A22"/>
      <sz val="10"/>
    </font>
    <font>
      <name val="Calibri"/>
      <color rgb="00437A22"/>
      <sz val="10"/>
    </font>
    <font>
      <name val="Calibri"/>
      <b val="1"/>
      <color rgb="00A12C7B"/>
      <sz val="10"/>
    </font>
  </fonts>
  <fills count="3">
    <fill>
      <patternFill/>
    </fill>
    <fill>
      <patternFill patternType="gray125"/>
    </fill>
    <fill>
      <patternFill patternType="solid">
        <fgColor rgb="0001696F"/>
      </patternFill>
    </fill>
  </fills>
  <borders count="2">
    <border>
      <left/>
      <right/>
      <top/>
      <bottom/>
      <diagonal/>
    </border>
    <border>
      <left style="thin">
        <color rgb="00D4D1CA"/>
      </left>
      <right style="thin">
        <color rgb="00D4D1CA"/>
      </right>
      <top style="thin">
        <color rgb="00D4D1CA"/>
      </top>
      <bottom style="thin">
        <color rgb="00D4D1CA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4" fontId="4" fillId="0" borderId="1" applyAlignment="1" pivotButton="0" quotePrefix="0" xfId="0">
      <alignment vertical="top" wrapText="1"/>
    </xf>
    <xf numFmtId="4" fontId="6" fillId="0" borderId="1" applyAlignment="1" pivotButton="0" quotePrefix="0" xfId="0">
      <alignment vertical="top" wrapText="1"/>
    </xf>
    <xf numFmtId="4" fontId="0" fillId="0" borderId="0" pivotButton="0" quotePrefix="0" xfId="0"/>
    <xf numFmtId="0" fontId="4" fillId="0" borderId="0" pivotButton="0" quotePrefix="0" xfId="0"/>
    <xf numFmtId="10" fontId="0" fillId="0" borderId="0" pivotButton="0" quotePrefix="0" xfId="0"/>
    <xf numFmtId="0" fontId="7" fillId="0" borderId="0" pivotButton="0" quotePrefix="0" xfId="0"/>
    <xf numFmtId="4" fontId="7" fillId="0" borderId="0" pivotButton="0" quotePrefix="0" xfId="0"/>
    <xf numFmtId="0" fontId="6" fillId="0" borderId="0" pivotButton="0" quotePrefix="0" xfId="0"/>
    <xf numFmtId="164" fontId="4" fillId="0" borderId="0" pivotButton="0" quotePrefix="0" xfId="0"/>
    <xf numFmtId="0" fontId="4" fillId="0" borderId="1" pivotButton="0" quotePrefix="0" xfId="0"/>
    <xf numFmtId="165" fontId="0" fillId="0" borderId="1" pivotButton="0" quotePrefix="0" xfId="0"/>
    <xf numFmtId="166" fontId="3" fillId="0" borderId="1" pivotButton="0" quotePrefix="0" xfId="0"/>
    <xf numFmtId="0" fontId="8" fillId="0" borderId="1" pivotButton="0" quotePrefix="0" xfId="0"/>
    <xf numFmtId="167" fontId="0" fillId="0" borderId="0" pivotButton="0" quotePrefix="0" xfId="0"/>
    <xf numFmtId="166" fontId="0" fillId="0" borderId="0" pivotButton="0" quotePrefix="0" xfId="0"/>
    <xf numFmtId="0" fontId="9" fillId="0" borderId="0" pivotButton="0" quotePrefix="0" xfId="0"/>
    <xf numFmtId="0" fontId="3" fillId="0" borderId="1" pivotButton="0" quotePrefix="0" xfId="0"/>
    <xf numFmtId="166" fontId="0" fillId="0" borderId="1" pivotButton="0" quotePrefix="0" xfId="0"/>
    <xf numFmtId="168" fontId="0" fillId="0" borderId="1" pivotButton="0" quotePrefix="0" xfId="0"/>
    <xf numFmtId="0" fontId="0" fillId="0" borderId="1" pivotButton="0" quotePrefix="0" xfId="0"/>
    <xf numFmtId="164" fontId="0" fillId="0" borderId="0" pivotButton="0" quotePrefix="0" xfId="0"/>
    <xf numFmtId="0" fontId="8" fillId="0" borderId="0" pivotButton="0" quotePrefix="0" xfId="0"/>
    <xf numFmtId="168" fontId="0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8" customWidth="1" min="2" max="2"/>
  </cols>
  <sheetData>
    <row r="1">
      <c r="A1" s="1" t="inlineStr">
        <is>
          <t>MG-6 Sensor &amp; Starter Procurement Workbook</t>
        </is>
      </c>
    </row>
    <row r="2">
      <c r="A2" s="2" t="inlineStr">
        <is>
          <t>CBJG Holdings LLC | MG-1 flux-modulated magnetic gear | Revision 0.1</t>
        </is>
      </c>
    </row>
    <row r="4" ht="34" customHeight="1">
      <c r="A4" s="3" t="inlineStr">
        <is>
          <t>Purpose</t>
        </is>
      </c>
      <c r="B4" s="4" t="inlineStr">
        <is>
          <t>Everything you must buy to measure MG-1 against its predictions, plus the starter hardware from MG-5. Priced lines carry the vendor page that stated the price.</t>
        </is>
      </c>
    </row>
    <row r="5" ht="34" customHeight="1">
      <c r="A5" s="3" t="inlineStr">
        <is>
          <t>Sheets</t>
        </is>
      </c>
      <c r="B5" s="4" t="inlineStr">
        <is>
          <t>Procurement (buy list, staged) | Channel Map (18 DAQ channels) | Uncertainty (live formulas) | Gates (acceptance bands) | Traps (parts that fail on physics)</t>
        </is>
      </c>
    </row>
    <row r="6" ht="34" customHeight="1">
      <c r="A6" s="3" t="inlineStr">
        <is>
          <t>Live formulas</t>
        </is>
      </c>
      <c r="B6" s="4" t="inlineStr">
        <is>
          <t>Extended cost, stage subtotals, tax, shipping and the whole Uncertainty sheet are formulas. Change a quantity or an accuracy class and the totals move.</t>
        </is>
      </c>
    </row>
    <row r="7" ht="49" customHeight="1">
      <c r="A7" s="3" t="inlineStr">
        <is>
          <t>Staging</t>
        </is>
      </c>
      <c r="B7" s="4" t="inlineStr">
        <is>
          <t>Stages 1-2 are sufficient to run Gates 0, 1, 2 and 4 and to commission the starter. Gate 4 -- the falsification test, the most important measurement in the project -- needs only the reaction load cell, a caliper-measured arm and pin gauges.</t>
        </is>
      </c>
    </row>
    <row r="8" ht="19" customHeight="1">
      <c r="A8" s="3" t="inlineStr">
        <is>
          <t>Currency</t>
        </is>
      </c>
      <c r="B8" s="4" t="inlineStr">
        <is>
          <t>USD unless noted. The Hirst gaussmeter is quoted in GBP ex-VAT; convert at purchase.</t>
        </is>
      </c>
    </row>
    <row r="9" ht="19" customHeight="1">
      <c r="A9" s="3" t="inlineStr">
        <is>
          <t>'n.a.'</t>
        </is>
      </c>
      <c r="B9" s="4" t="inlineStr">
        <is>
          <t>No fetched vendor page confirmed that value. Do not budget from a blank.</t>
        </is>
      </c>
    </row>
    <row r="10" ht="34" customHeight="1">
      <c r="A10" s="3" t="inlineStr">
        <is>
          <t>Limitation</t>
        </is>
      </c>
      <c r="B10" s="4" t="inlineStr">
        <is>
          <t>No hardware has been built. Every 'expected value' is a computed prediction from starter_verify.py / sim_verify.py, not a measurement.</t>
        </is>
      </c>
    </row>
    <row r="11" ht="34" customHeight="1">
      <c r="A11" s="3" t="inlineStr">
        <is>
          <t>Hard rule</t>
        </is>
      </c>
      <c r="B11" s="4" t="inlineStr">
        <is>
          <t>The magnetic gear slips at 0.936 A of phase current. The drive current limit is the mechanical protection device, not a tuning parameter.</t>
        </is>
      </c>
    </row>
    <row r="12" ht="64" customHeight="1">
      <c r="A12" s="3" t="inlineStr">
        <is>
          <t>ALTERNATES</t>
        </is>
      </c>
      <c r="B12" s="4" t="inlineStr">
        <is>
          <t>The Procurement sheet deliberately lists competing options on separate rows (TMC4671-EVAL vs ODrive S1; TAL220B vs LCM703-5; AS5047P vs AMT102-V; Hirst vs Magnetic Sciences probe). The totals therefore OVERSTATE the real spend. Set the Qty of any option you reject to 0 and every subtotal corrects itself.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30" customWidth="1" min="3" max="3"/>
    <col width="18" customWidth="1" min="4" max="4"/>
    <col width="22" customWidth="1" min="5" max="5"/>
    <col width="40" customWidth="1" min="6" max="6"/>
    <col width="6" customWidth="1" min="7" max="7"/>
    <col width="11" customWidth="1" min="8" max="8"/>
    <col width="11" customWidth="1" min="9" max="9"/>
    <col width="14" customWidth="1" min="10" max="10"/>
    <col width="60" customWidth="1" min="11" max="11"/>
  </cols>
  <sheetData>
    <row r="1">
      <c r="A1" s="1" t="inlineStr">
        <is>
          <t>Procurement list</t>
        </is>
      </c>
    </row>
    <row r="2">
      <c r="A2" s="2" t="inlineStr">
        <is>
          <t>Stage 1-2 = Gates 0/1/2/4 + starter commissioning. Stage 3-4 = power-path and flux verification.</t>
        </is>
      </c>
    </row>
    <row r="4" ht="30" customHeight="1">
      <c r="A4" s="5" t="inlineStr">
        <is>
          <t>Stage</t>
        </is>
      </c>
      <c r="B4" s="5" t="inlineStr">
        <is>
          <t>Ch / use</t>
        </is>
      </c>
      <c r="C4" s="5" t="inlineStr">
        <is>
          <t>Item</t>
        </is>
      </c>
      <c r="D4" s="5" t="inlineStr">
        <is>
          <t>Manufacturer</t>
        </is>
      </c>
      <c r="E4" s="5" t="inlineStr">
        <is>
          <t>Part number</t>
        </is>
      </c>
      <c r="F4" s="5" t="inlineStr">
        <is>
          <t>Key spec</t>
        </is>
      </c>
      <c r="G4" s="5" t="inlineStr">
        <is>
          <t>Qty</t>
        </is>
      </c>
      <c r="H4" s="5" t="inlineStr">
        <is>
          <t>Unit USD</t>
        </is>
      </c>
      <c r="I4" s="5" t="inlineStr">
        <is>
          <t>Ext USD</t>
        </is>
      </c>
      <c r="J4" s="5" t="inlineStr">
        <is>
          <t>Vendor</t>
        </is>
      </c>
      <c r="K4" s="5" t="inlineStr">
        <is>
          <t>Source URL</t>
        </is>
      </c>
    </row>
    <row r="5" ht="34" customHeight="1">
      <c r="A5" s="6" t="n">
        <v>1</v>
      </c>
      <c r="B5" s="6" t="inlineStr">
        <is>
          <t>Gap datum</t>
        </is>
      </c>
      <c r="C5" s="6" t="inlineStr">
        <is>
          <t>Pin gauge set, Class Z metric</t>
        </is>
      </c>
      <c r="D5" s="6" t="inlineStr">
        <is>
          <t>Meyer Gage</t>
        </is>
      </c>
      <c r="E5" s="6" t="inlineStr">
        <is>
          <t>Class Z metric minus</t>
        </is>
      </c>
      <c r="F5" s="6" t="inlineStr">
        <is>
          <t>0.22-1.50 mm, +/-0.0025 mm = 0.09% torque</t>
        </is>
      </c>
      <c r="G5" s="6" t="n">
        <v>1</v>
      </c>
      <c r="H5" s="7" t="n">
        <v>145.7</v>
      </c>
      <c r="I5" s="7">
        <f>IF(N(H5)=0,"n.a.",G5*H5)</f>
        <v/>
      </c>
      <c r="J5" s="6" t="inlineStr">
        <is>
          <t>Higher Precision</t>
        </is>
      </c>
      <c r="K5" s="6" t="inlineStr">
        <is>
          <t>https://www.higherprecision.com/brands/meyer-gage-company/meyer-gage-pin-gages</t>
        </is>
      </c>
    </row>
    <row r="6" ht="19" customHeight="1">
      <c r="A6" s="6" t="n">
        <v>1</v>
      </c>
      <c r="B6" s="6" t="inlineStr">
        <is>
          <t>Gap check</t>
        </is>
      </c>
      <c r="C6" s="6" t="inlineStr">
        <is>
          <t>Feeler gauge set, metric</t>
        </is>
      </c>
      <c r="D6" s="6" t="inlineStr">
        <is>
          <t>Starrett</t>
        </is>
      </c>
      <c r="E6" s="6" t="inlineStr">
        <is>
          <t>66MA</t>
        </is>
      </c>
      <c r="F6" s="6" t="inlineStr">
        <is>
          <t>0.05-1.00 mm, 20 leaves, 0.05 mm steps</t>
        </is>
      </c>
      <c r="G6" s="6" t="n">
        <v>1</v>
      </c>
      <c r="H6" s="7" t="n">
        <v>99</v>
      </c>
      <c r="I6" s="7">
        <f>IF(N(H6)=0,"n.a.",G6*H6)</f>
        <v/>
      </c>
      <c r="J6" s="6" t="inlineStr">
        <is>
          <t>Travers</t>
        </is>
      </c>
      <c r="K6" s="6" t="inlineStr">
        <is>
          <t>https://www.travers.com/product/starrett-66ma-feeler-gage-set-57-065-501</t>
        </is>
      </c>
    </row>
    <row r="7" ht="19" customHeight="1">
      <c r="A7" s="6" t="n">
        <v>1</v>
      </c>
      <c r="B7" s="6" t="inlineStr">
        <is>
          <t>Runout</t>
        </is>
      </c>
      <c r="C7" s="6" t="inlineStr">
        <is>
          <t>Dial indicator</t>
        </is>
      </c>
      <c r="D7" s="6" t="inlineStr">
        <is>
          <t>Mitutoyo</t>
        </is>
      </c>
      <c r="E7" s="6" t="inlineStr">
        <is>
          <t>2046S</t>
        </is>
      </c>
      <c r="F7" s="6" t="inlineStr">
        <is>
          <t>10 mm range, 0.01 mm graduation</t>
        </is>
      </c>
      <c r="G7" s="6" t="n">
        <v>1</v>
      </c>
      <c r="H7" s="7" t="n">
        <v>107.48</v>
      </c>
      <c r="I7" s="7">
        <f>IF(N(H7)=0,"n.a.",G7*H7)</f>
        <v/>
      </c>
      <c r="J7" s="6" t="inlineStr">
        <is>
          <t>Turner Supply</t>
        </is>
      </c>
      <c r="K7" s="6" t="inlineStr">
        <is>
          <t>https://www.turnersupply.com/Product/039120465</t>
        </is>
      </c>
    </row>
    <row r="8" ht="34" customHeight="1">
      <c r="A8" s="6" t="n">
        <v>1</v>
      </c>
      <c r="B8" s="6" t="inlineStr">
        <is>
          <t>Ch 3</t>
        </is>
      </c>
      <c r="C8" s="6" t="inlineStr">
        <is>
          <t>Reaction load cell, commissioning</t>
        </is>
      </c>
      <c r="D8" s="6" t="inlineStr">
        <is>
          <t>SparkFun</t>
        </is>
      </c>
      <c r="E8" s="6" t="inlineStr">
        <is>
          <t>TAL220B</t>
        </is>
      </c>
      <c r="F8" s="6" t="inlineStr">
        <is>
          <t>5 kg straight bar, no published accuracy class</t>
        </is>
      </c>
      <c r="G8" s="6" t="n">
        <v>1</v>
      </c>
      <c r="H8" s="7" t="n">
        <v>15.5</v>
      </c>
      <c r="I8" s="7">
        <f>IF(N(H8)=0,"n.a.",G8*H8)</f>
        <v/>
      </c>
      <c r="J8" s="6" t="inlineStr">
        <is>
          <t>SparkFun</t>
        </is>
      </c>
      <c r="K8" s="6" t="inlineStr">
        <is>
          <t>https://www.sparkfun.com/load-cell-5kg-straight-bar-tal220b.html</t>
        </is>
      </c>
    </row>
    <row r="9" ht="34" customHeight="1">
      <c r="A9" s="6" t="n">
        <v>1</v>
      </c>
      <c r="B9" s="6" t="inlineStr">
        <is>
          <t>Ch 3 amp</t>
        </is>
      </c>
      <c r="C9" s="6" t="inlineStr">
        <is>
          <t>Bridge ADC, 24-bit, 2 ch</t>
        </is>
      </c>
      <c r="D9" s="6" t="inlineStr">
        <is>
          <t>Adafruit / Nuvoton</t>
        </is>
      </c>
      <c r="E9" s="6" t="inlineStr">
        <is>
          <t>PID 4538 (NAU7802)</t>
        </is>
      </c>
      <c r="F9" s="6" t="inlineStr">
        <is>
          <t>24-bit, I2C, Python lib. Tens of SPS -- mean only</t>
        </is>
      </c>
      <c r="G9" s="6" t="n">
        <v>1</v>
      </c>
      <c r="H9" s="7" t="n">
        <v>5.95</v>
      </c>
      <c r="I9" s="7">
        <f>IF(N(H9)=0,"n.a.",G9*H9)</f>
        <v/>
      </c>
      <c r="J9" s="6" t="inlineStr">
        <is>
          <t>Adafruit</t>
        </is>
      </c>
      <c r="K9" s="6" t="inlineStr">
        <is>
          <t>https://www.adafruit.com/product/4538</t>
        </is>
      </c>
    </row>
    <row r="10" ht="19" customHeight="1">
      <c r="A10" s="6" t="n">
        <v>1</v>
      </c>
      <c r="B10" s="6" t="inlineStr">
        <is>
          <t>Ch 8/11</t>
        </is>
      </c>
      <c r="C10" s="6" t="inlineStr">
        <is>
          <t>Temperature, +/-0.1 C</t>
        </is>
      </c>
      <c r="D10" s="6" t="inlineStr">
        <is>
          <t>TI / Adafruit</t>
        </is>
      </c>
      <c r="E10" s="6" t="inlineStr">
        <is>
          <t>PID 4821 (TMP117)</t>
        </is>
      </c>
      <c r="F10" s="6" t="inlineStr">
        <is>
          <t>+/-0.1 C from -20 to +50 C, I2C</t>
        </is>
      </c>
      <c r="G10" s="6" t="n">
        <v>3</v>
      </c>
      <c r="H10" s="7" t="n">
        <v>11.5</v>
      </c>
      <c r="I10" s="7">
        <f>IF(N(H10)=0,"n.a.",G10*H10)</f>
        <v/>
      </c>
      <c r="J10" s="6" t="inlineStr">
        <is>
          <t>Adafruit</t>
        </is>
      </c>
      <c r="K10" s="6" t="inlineStr">
        <is>
          <t>https://www.adafruit.com/product/4821</t>
        </is>
      </c>
    </row>
    <row r="11" ht="34" customHeight="1">
      <c r="A11" s="6" t="n">
        <v>1</v>
      </c>
      <c r="B11" s="6" t="inlineStr">
        <is>
          <t>DAQ</t>
        </is>
      </c>
      <c r="C11" s="6" t="inlineStr">
        <is>
          <t>USB multifunction DAQ</t>
        </is>
      </c>
      <c r="D11" s="6" t="inlineStr">
        <is>
          <t>MCC / Digilent</t>
        </is>
      </c>
      <c r="E11" s="6" t="inlineStr">
        <is>
          <t>USB-1608G</t>
        </is>
      </c>
      <c r="F11" s="6" t="inlineStr">
        <is>
          <t>16 ch, 16-bit, 250 kS/s agg, mcculw/uldaq Python</t>
        </is>
      </c>
      <c r="G11" s="6" t="n">
        <v>1</v>
      </c>
      <c r="H11" s="7" t="n">
        <v>459</v>
      </c>
      <c r="I11" s="7">
        <f>IF(N(H11)=0,"n.a.",G11*H11)</f>
        <v/>
      </c>
      <c r="J11" s="6" t="inlineStr">
        <is>
          <t>MicroDAQ</t>
        </is>
      </c>
      <c r="K11" s="6" t="inlineStr">
        <is>
          <t>https://microdaq.com/measurement-computing-usb-1608g-data-acquisition-daq.php</t>
        </is>
      </c>
    </row>
    <row r="12" ht="34" customHeight="1">
      <c r="A12" s="6" t="n">
        <v>2</v>
      </c>
      <c r="B12" s="6" t="inlineStr">
        <is>
          <t>Ch 12/13</t>
        </is>
      </c>
      <c r="C12" s="6" t="inlineStr">
        <is>
          <t>Bus V and I monitor</t>
        </is>
      </c>
      <c r="D12" s="6" t="inlineStr">
        <is>
          <t>TI / Adafruit</t>
        </is>
      </c>
      <c r="E12" s="6" t="inlineStr">
        <is>
          <t>PID 5832 (INA228)</t>
        </is>
      </c>
      <c r="F12" s="6" t="inlineStr">
        <is>
          <t>85 V bus, 10 A, 20-bit, 10 uA LSB, 15 mOhm shunt</t>
        </is>
      </c>
      <c r="G12" s="6" t="n">
        <v>1</v>
      </c>
      <c r="H12" s="7" t="n">
        <v>14.95</v>
      </c>
      <c r="I12" s="7">
        <f>IF(N(H12)=0,"n.a.",G12*H12)</f>
        <v/>
      </c>
      <c r="J12" s="6" t="inlineStr">
        <is>
          <t>Adafruit</t>
        </is>
      </c>
      <c r="K12" s="6" t="inlineStr">
        <is>
          <t>https://www.adafruit.com/product/5832</t>
        </is>
      </c>
    </row>
    <row r="13" ht="34" customHeight="1">
      <c r="A13" s="6" t="n">
        <v>2</v>
      </c>
      <c r="B13" s="6" t="inlineStr">
        <is>
          <t>Ch 6/7</t>
        </is>
      </c>
      <c r="C13" s="6" t="inlineStr">
        <is>
          <t>Absolute angle, 14-bit</t>
        </is>
      </c>
      <c r="D13" s="6" t="inlineStr">
        <is>
          <t>ams OSRAM</t>
        </is>
      </c>
      <c r="E13" s="6" t="inlineStr">
        <is>
          <t>AS5047P-ATSM</t>
        </is>
      </c>
      <c r="F13" s="6" t="inlineStr">
        <is>
          <t>14-bit (0.022 deg), stray-field immune, SPI</t>
        </is>
      </c>
      <c r="G13" s="6" t="n">
        <v>2</v>
      </c>
      <c r="H13" s="7" t="n">
        <v>7.3</v>
      </c>
      <c r="I13" s="7">
        <f>IF(N(H13)=0,"n.a.",G13*H13)</f>
        <v/>
      </c>
      <c r="J13" s="6" t="inlineStr">
        <is>
          <t>Newark</t>
        </is>
      </c>
      <c r="K13" s="6" t="inlineStr">
        <is>
          <t>https://www.newark.com/ams-osram-group/as5047p-atsm/magnetic-position-sensor-5-5v/dp/86AK7263</t>
        </is>
      </c>
    </row>
    <row r="14" ht="19" customHeight="1">
      <c r="A14" s="6" t="n">
        <v>2</v>
      </c>
      <c r="B14" s="6" t="inlineStr">
        <is>
          <t>Ch 6/7 alt</t>
        </is>
      </c>
      <c r="C14" s="6" t="inlineStr">
        <is>
          <t>Kit encoder, 2048 PPR</t>
        </is>
      </c>
      <c r="D14" s="6" t="inlineStr">
        <is>
          <t>Same Sky (CUI)</t>
        </is>
      </c>
      <c r="E14" s="6" t="inlineStr">
        <is>
          <t>AMT102-V</t>
        </is>
      </c>
      <c r="F14" s="6" t="inlineStr">
        <is>
          <t>48-2048 PPR selectable, TTL quadrature</t>
        </is>
      </c>
      <c r="G14" s="6" t="n">
        <v>1</v>
      </c>
      <c r="H14" s="7" t="n">
        <v>27.5</v>
      </c>
      <c r="I14" s="7">
        <f>IF(N(H14)=0,"n.a.",G14*H14)</f>
        <v/>
      </c>
      <c r="J14" s="6" t="inlineStr">
        <is>
          <t>Same Sky</t>
        </is>
      </c>
      <c r="K14" s="6" t="inlineStr">
        <is>
          <t>https://www.sameskydevices.com/product/motion-and-control/rotary-encoders/incremental/amt102-v</t>
        </is>
      </c>
    </row>
    <row r="15" ht="34" customHeight="1">
      <c r="A15" s="6" t="n">
        <v>2</v>
      </c>
      <c r="B15" s="6" t="inlineStr">
        <is>
          <t>Ch 4/5</t>
        </is>
      </c>
      <c r="C15" s="6" t="inlineStr">
        <is>
          <t>Gear-tooth speed pickup</t>
        </is>
      </c>
      <c r="D15" s="6" t="inlineStr">
        <is>
          <t>Honeywell</t>
        </is>
      </c>
      <c r="E15" s="6" t="inlineStr">
        <is>
          <t>1GT101DC</t>
        </is>
      </c>
      <c r="F15" s="6" t="inlineStr">
        <is>
          <t>Ferrous target, amplitude independent of speed</t>
        </is>
      </c>
      <c r="G15" s="6" t="n">
        <v>2</v>
      </c>
      <c r="H15" s="7" t="n">
        <v>24.56</v>
      </c>
      <c r="I15" s="7">
        <f>IF(N(H15)=0,"n.a.",G15*H15)</f>
        <v/>
      </c>
      <c r="J15" s="6" t="inlineStr">
        <is>
          <t>Sonnecy (clone)</t>
        </is>
      </c>
      <c r="K15" s="6" t="inlineStr">
        <is>
          <t>https://www.sonnecy-shop.com/en/hall-effect-gear-tooth-sensor-cygts101dc-output-npn-oc-power-supply-4.5-v-24-v-dc-cable-length-150-mm-alternative-for-1gt101dc-1gt103dc-1gt105dc-honeywell.html</t>
        </is>
      </c>
    </row>
    <row r="16" ht="34" customHeight="1">
      <c r="A16" s="6" t="n">
        <v>2</v>
      </c>
      <c r="B16" s="6" t="inlineStr">
        <is>
          <t>Ch 9/10</t>
        </is>
      </c>
      <c r="C16" s="6" t="inlineStr">
        <is>
          <t>PT100 amp + probe</t>
        </is>
      </c>
      <c r="D16" s="6" t="inlineStr">
        <is>
          <t>Maxim / Adafruit</t>
        </is>
      </c>
      <c r="E16" s="6" t="inlineStr">
        <is>
          <t>PID 3328 + PID 3290</t>
        </is>
      </c>
      <c r="F16" s="6" t="inlineStr">
        <is>
          <t>Probe +/-0.5 C, 4x30 mm sheath for magnet pocket</t>
        </is>
      </c>
      <c r="G16" s="6" t="n">
        <v>2</v>
      </c>
      <c r="H16" s="7" t="n">
        <v>26.9</v>
      </c>
      <c r="I16" s="7">
        <f>IF(N(H16)=0,"n.a.",G16*H16)</f>
        <v/>
      </c>
      <c r="J16" s="6" t="inlineStr">
        <is>
          <t>Adafruit</t>
        </is>
      </c>
      <c r="K16" s="6" t="inlineStr">
        <is>
          <t>https://www.adafruit.com/product/3328</t>
        </is>
      </c>
    </row>
    <row r="17" ht="19" customHeight="1">
      <c r="A17" s="6" t="n">
        <v>2</v>
      </c>
      <c r="B17" s="6" t="inlineStr">
        <is>
          <t>Ch 18</t>
        </is>
      </c>
      <c r="C17" s="6" t="inlineStr">
        <is>
          <t>Accelerometer, 3-axis</t>
        </is>
      </c>
      <c r="D17" s="6" t="inlineStr">
        <is>
          <t>ADI / Adafruit</t>
        </is>
      </c>
      <c r="E17" s="6" t="inlineStr">
        <is>
          <t>PID 4097 (ADXL343)</t>
        </is>
      </c>
      <c r="F17" s="6" t="inlineStr">
        <is>
          <t>3200 Hz ODR, I2C/SPI, Python lib</t>
        </is>
      </c>
      <c r="G17" s="6" t="n">
        <v>3</v>
      </c>
      <c r="H17" s="7" t="n">
        <v>5.95</v>
      </c>
      <c r="I17" s="7">
        <f>IF(N(H17)=0,"n.a.",G17*H17)</f>
        <v/>
      </c>
      <c r="J17" s="6" t="inlineStr">
        <is>
          <t>Adafruit</t>
        </is>
      </c>
      <c r="K17" s="6" t="inlineStr">
        <is>
          <t>https://www.adafruit.com/product/4097</t>
        </is>
      </c>
    </row>
    <row r="18" ht="19" customHeight="1">
      <c r="A18" s="6" t="n">
        <v>2</v>
      </c>
      <c r="B18" s="6" t="inlineStr">
        <is>
          <t>Ch 17</t>
        </is>
      </c>
      <c r="C18" s="6" t="inlineStr">
        <is>
          <t>Phase current sensor</t>
        </is>
      </c>
      <c r="D18" s="6" t="inlineStr">
        <is>
          <t>Allegro / SparkFun</t>
        </is>
      </c>
      <c r="E18" s="6" t="inlineStr">
        <is>
          <t>ACS723 low-current</t>
        </is>
      </c>
      <c r="F18" s="6" t="inlineStr">
        <is>
          <t>+/-5 A, 34 kHz bandwidth, analog out</t>
        </is>
      </c>
      <c r="G18" s="6" t="n">
        <v>3</v>
      </c>
      <c r="H18" s="8" t="inlineStr">
        <is>
          <t>n.a.</t>
        </is>
      </c>
      <c r="I18" s="7">
        <f>IF(N(H18)=0,"n.a.",G18*H18)</f>
        <v/>
      </c>
      <c r="J18" s="6" t="inlineStr">
        <is>
          <t>SparkFun</t>
        </is>
      </c>
      <c r="K18" s="6" t="inlineStr">
        <is>
          <t>https://www.sparkfun.com/sparkfun-current-sensor-breakout-acs723-low-current.html</t>
        </is>
      </c>
    </row>
    <row r="19" ht="34" customHeight="1">
      <c r="A19" s="6" t="n">
        <v>2</v>
      </c>
      <c r="B19" s="6" t="inlineStr">
        <is>
          <t>Thermal</t>
        </is>
      </c>
      <c r="C19" s="6" t="inlineStr">
        <is>
          <t>Thermal camera</t>
        </is>
      </c>
      <c r="D19" s="6" t="inlineStr">
        <is>
          <t>InfiRay (Xinfrared)</t>
        </is>
      </c>
      <c r="E19" s="6" t="inlineStr">
        <is>
          <t>P2 Pro</t>
        </is>
      </c>
      <c r="F19" s="6" t="inlineStr">
        <is>
          <t>256x192, 12 um, +/-2 C or 2% rdg, macro lens</t>
        </is>
      </c>
      <c r="G19" s="6" t="n">
        <v>1</v>
      </c>
      <c r="H19" s="7" t="n">
        <v>249</v>
      </c>
      <c r="I19" s="7">
        <f>IF(N(H19)=0,"n.a.",G19*H19)</f>
        <v/>
      </c>
      <c r="J19" s="6" t="inlineStr">
        <is>
          <t>Xinfrared</t>
        </is>
      </c>
      <c r="K19" s="6" t="inlineStr">
        <is>
          <t>https://www.xinfrared.com/products/infiray_p2_pro_thermal_camera</t>
        </is>
      </c>
    </row>
    <row r="20" ht="34" customHeight="1">
      <c r="A20" s="6" t="n">
        <v>2</v>
      </c>
      <c r="B20" s="6" t="inlineStr">
        <is>
          <t>Stray field</t>
        </is>
      </c>
      <c r="C20" s="6" t="inlineStr">
        <is>
          <t>3-axis magnetometer</t>
        </is>
      </c>
      <c r="D20" s="6" t="inlineStr">
        <is>
          <t>Melexis / Adafruit</t>
        </is>
      </c>
      <c r="E20" s="6" t="inlineStr">
        <is>
          <t>PID 4022 (MLX90393)</t>
        </is>
      </c>
      <c r="F20" s="6" t="inlineStr">
        <is>
          <t>+/-50 mT -- OUTSIDE machine only, saturates in gap</t>
        </is>
      </c>
      <c r="G20" s="6" t="n">
        <v>1</v>
      </c>
      <c r="H20" s="7" t="n">
        <v>9.949999999999999</v>
      </c>
      <c r="I20" s="7">
        <f>IF(N(H20)=0,"n.a.",G20*H20)</f>
        <v/>
      </c>
      <c r="J20" s="6" t="inlineStr">
        <is>
          <t>Adafruit</t>
        </is>
      </c>
      <c r="K20" s="6" t="inlineStr">
        <is>
          <t>https://www.adafruit.com/product/4022</t>
        </is>
      </c>
    </row>
    <row r="21" ht="34" customHeight="1">
      <c r="A21" s="6" t="n">
        <v>2</v>
      </c>
      <c r="B21" s="6" t="inlineStr">
        <is>
          <t>Safety</t>
        </is>
      </c>
      <c r="C21" s="6" t="inlineStr">
        <is>
          <t>Guard interlock switch</t>
        </is>
      </c>
      <c r="D21" s="6" t="inlineStr">
        <is>
          <t>Omron STI</t>
        </is>
      </c>
      <c r="E21" s="6" t="inlineStr">
        <is>
          <t>D4NS-2AF</t>
        </is>
      </c>
      <c r="F21" s="6" t="inlineStr">
        <is>
          <t>Tongue actuated. 240VAC/3A but only 270 mA DC</t>
        </is>
      </c>
      <c r="G21" s="6" t="n">
        <v>1</v>
      </c>
      <c r="H21" s="7" t="n">
        <v>82.05</v>
      </c>
      <c r="I21" s="7">
        <f>IF(N(H21)=0,"n.a.",G21*H21)</f>
        <v/>
      </c>
      <c r="J21" s="6" t="inlineStr">
        <is>
          <t>Newark</t>
        </is>
      </c>
      <c r="K21" s="6" t="inlineStr">
        <is>
          <t>https://www.newark.com/omron-sti/d4ns-2af/product-range/dp/08R7985</t>
        </is>
      </c>
    </row>
    <row r="22" ht="19" customHeight="1">
      <c r="A22" s="6" t="n">
        <v>2</v>
      </c>
      <c r="B22" s="6" t="inlineStr">
        <is>
          <t>Safety</t>
        </is>
      </c>
      <c r="C22" s="6" t="inlineStr">
        <is>
          <t>E-stop, push-pull maintained</t>
        </is>
      </c>
      <c r="D22" s="6" t="inlineStr">
        <is>
          <t>Eaton Moeller</t>
        </is>
      </c>
      <c r="E22" s="6" t="inlineStr">
        <is>
          <t>M22-PV/K02</t>
        </is>
      </c>
      <c r="F22" s="6" t="inlineStr">
        <is>
          <t>DPST-NC, 22 mm, IP67</t>
        </is>
      </c>
      <c r="G22" s="6" t="n">
        <v>1</v>
      </c>
      <c r="H22" s="7" t="n">
        <v>58.61</v>
      </c>
      <c r="I22" s="7">
        <f>IF(N(H22)=0,"n.a.",G22*H22)</f>
        <v/>
      </c>
      <c r="J22" s="6" t="inlineStr">
        <is>
          <t>Newark</t>
        </is>
      </c>
      <c r="K22" s="6" t="inlineStr">
        <is>
          <t>https://www.newark.com/eaton-moeller/m22-pv-k02/e-stop-sw-dpst-nc-push-pull/dp/09P6127</t>
        </is>
      </c>
    </row>
    <row r="23" ht="34" customHeight="1">
      <c r="A23" s="6" t="n">
        <v>3</v>
      </c>
      <c r="B23" s="6" t="inlineStr">
        <is>
          <t>Ch 3</t>
        </is>
      </c>
      <c r="C23" s="6" t="inlineStr">
        <is>
          <t>Reaction load cell, metrology</t>
        </is>
      </c>
      <c r="D23" s="6" t="inlineStr">
        <is>
          <t>DwyerOmega</t>
        </is>
      </c>
      <c r="E23" s="6" t="inlineStr">
        <is>
          <t>LCM703-5</t>
        </is>
      </c>
      <c r="F23" s="6" t="inlineStr">
        <is>
          <t>0-5 kgf, hyst +/-0.15% FSO, rep +/-0.05% FSO</t>
        </is>
      </c>
      <c r="G23" s="6" t="n">
        <v>1</v>
      </c>
      <c r="H23" s="7" t="n">
        <v>347</v>
      </c>
      <c r="I23" s="7">
        <f>IF(N(H23)=0,"n.a.",G23*H23)</f>
        <v/>
      </c>
      <c r="J23" s="6" t="inlineStr">
        <is>
          <t>DwyerOmega</t>
        </is>
      </c>
      <c r="K23" s="6" t="inlineStr">
        <is>
          <t>https://www.dwyeromega.com/en-us/miniature-low-profile-tension-compression-load-cells/p/LC703</t>
        </is>
      </c>
    </row>
    <row r="24" ht="34" customHeight="1">
      <c r="A24" s="6" t="n">
        <v>3</v>
      </c>
      <c r="B24" s="6" t="inlineStr">
        <is>
          <t>Ch 1</t>
        </is>
      </c>
      <c r="C24" s="6" t="inlineStr">
        <is>
          <t>Rotary torque, 5 N.m</t>
        </is>
      </c>
      <c r="D24" s="6" t="inlineStr">
        <is>
          <t>ATO</t>
        </is>
      </c>
      <c r="E24" s="6" t="inlineStr">
        <is>
          <t>TQS-DYN-200-01</t>
        </is>
      </c>
      <c r="F24" s="6" t="inlineStr">
        <is>
          <t>0-5 N.m, 0.1% FS nonlin, 0-10 V, 60 ppr speed, 1 kHz</t>
        </is>
      </c>
      <c r="G24" s="6" t="n">
        <v>1</v>
      </c>
      <c r="H24" s="7" t="n">
        <v>938.99</v>
      </c>
      <c r="I24" s="7">
        <f>IF(N(H24)=0,"n.a.",G24*H24)</f>
        <v/>
      </c>
      <c r="J24" s="6" t="inlineStr">
        <is>
          <t>Amazon</t>
        </is>
      </c>
      <c r="K24" s="6" t="inlineStr">
        <is>
          <t>https://www.amazon.com/ATO-Dynamic-Torque-Display-Measurement/dp/B0CYBZDH6F</t>
        </is>
      </c>
    </row>
    <row r="25" ht="34" customHeight="1">
      <c r="A25" s="6" t="n">
        <v>3</v>
      </c>
      <c r="B25" s="6" t="inlineStr">
        <is>
          <t>Ch 2</t>
        </is>
      </c>
      <c r="C25" s="6" t="inlineStr">
        <is>
          <t>Rotary torque, 1 N.m</t>
        </is>
      </c>
      <c r="D25" s="6" t="inlineStr">
        <is>
          <t>ATO</t>
        </is>
      </c>
      <c r="E25" s="6" t="inlineStr">
        <is>
          <t>ATO-TQS-D02</t>
        </is>
      </c>
      <c r="F25" s="6" t="inlineStr">
        <is>
          <t>0-1 N.m, 0.1% FS nonlin, raw mV/V, 3000 rpm</t>
        </is>
      </c>
      <c r="G25" s="6" t="n">
        <v>1</v>
      </c>
      <c r="H25" s="7" t="n">
        <v>914.02</v>
      </c>
      <c r="I25" s="7">
        <f>IF(N(H25)=0,"n.a.",G25*H25)</f>
        <v/>
      </c>
      <c r="J25" s="6" t="inlineStr">
        <is>
          <t>ATO</t>
        </is>
      </c>
      <c r="K25" s="6" t="inlineStr">
        <is>
          <t>https://www.ato.com/micro-rotary-torque-sensor-5-nm</t>
        </is>
      </c>
    </row>
    <row r="26" ht="34" customHeight="1">
      <c r="A26" s="6" t="n">
        <v>4</v>
      </c>
      <c r="B26" s="6" t="inlineStr">
        <is>
          <t>B_gap</t>
        </is>
      </c>
      <c r="C26" s="6" t="inlineStr">
        <is>
          <t>Gaussmeter, 3 T</t>
        </is>
      </c>
      <c r="D26" s="6" t="inlineStr">
        <is>
          <t>Hirst</t>
        </is>
      </c>
      <c r="E26" s="6" t="inlineStr">
        <is>
          <t>GM08</t>
        </is>
      </c>
      <c r="F26" s="6" t="inlineStr">
        <is>
          <t>+/-0.5% system, +/-0.1% rep, DC-10 kHz, analog out</t>
        </is>
      </c>
      <c r="G26" s="6" t="n">
        <v>1</v>
      </c>
      <c r="H26" s="8" t="inlineStr">
        <is>
          <t>n.a.</t>
        </is>
      </c>
      <c r="I26" s="7">
        <f>IF(N(H26)=0,"n.a.",G26*H26)</f>
        <v/>
      </c>
      <c r="J26" s="6" t="inlineStr">
        <is>
          <t>Hirst (GBP 780 ex-VAT)</t>
        </is>
      </c>
      <c r="K26" s="6" t="inlineStr">
        <is>
          <t>https://www.gaussmeter.co.uk/GM08-Gaussmeter</t>
        </is>
      </c>
    </row>
    <row r="27" ht="34" customHeight="1">
      <c r="A27" s="6" t="n">
        <v>4</v>
      </c>
      <c r="B27" s="6" t="inlineStr">
        <is>
          <t>B_gap</t>
        </is>
      </c>
      <c r="C27" s="6" t="inlineStr">
        <is>
          <t>Extra-slim transverse probe</t>
        </is>
      </c>
      <c r="D27" s="6" t="inlineStr">
        <is>
          <t>Hirst</t>
        </is>
      </c>
      <c r="E27" s="6" t="inlineStr">
        <is>
          <t>TP002SP0.6</t>
        </is>
      </c>
      <c r="F27" s="6" t="inlineStr">
        <is>
          <t>0.6 mm thick -- ONLY probe class that fits 0.80 mm</t>
        </is>
      </c>
      <c r="G27" s="6" t="n">
        <v>1</v>
      </c>
      <c r="H27" s="8" t="inlineStr">
        <is>
          <t>n.a.</t>
        </is>
      </c>
      <c r="I27" s="7">
        <f>IF(N(H27)=0,"n.a.",G27*H27)</f>
        <v/>
      </c>
      <c r="J27" s="6" t="inlineStr">
        <is>
          <t>Hirst (GBP 445 ex-VAT)</t>
        </is>
      </c>
      <c r="K27" s="6" t="inlineStr">
        <is>
          <t>https://www.gaussmeter.co.uk/TP002SP0.6-extra-slim-transverse-probe</t>
        </is>
      </c>
    </row>
    <row r="28" ht="19" customHeight="1">
      <c r="A28" s="6" t="n">
        <v>4</v>
      </c>
      <c r="B28" s="6" t="inlineStr">
        <is>
          <t>B_gap alt</t>
        </is>
      </c>
      <c r="C28" s="6" t="inlineStr">
        <is>
          <t>Ultra-thin transverse probe</t>
        </is>
      </c>
      <c r="D28" s="6" t="inlineStr">
        <is>
          <t>Magnetic Sciences</t>
        </is>
      </c>
      <c r="E28" s="6" t="inlineStr">
        <is>
          <t>STD310-UL0.020</t>
        </is>
      </c>
      <c r="F28" s="6" t="inlineStr">
        <is>
          <t>0.5 mm thick, special order ~1 week</t>
        </is>
      </c>
      <c r="G28" s="6" t="n">
        <v>1</v>
      </c>
      <c r="H28" s="7" t="n">
        <v>500</v>
      </c>
      <c r="I28" s="7">
        <f>IF(N(H28)=0,"n.a.",G28*H28)</f>
        <v/>
      </c>
      <c r="J28" s="6" t="inlineStr">
        <is>
          <t>Magnetic Sciences</t>
        </is>
      </c>
      <c r="K28" s="6" t="inlineStr">
        <is>
          <t>https://magneticsciences.com/ultra-thin-probe-020/</t>
        </is>
      </c>
    </row>
    <row r="29" ht="34" customHeight="1">
      <c r="A29" s="6" t="n">
        <v>4</v>
      </c>
      <c r="B29" s="6" t="inlineStr">
        <is>
          <t>B_gap embed</t>
        </is>
      </c>
      <c r="C29" s="6" t="inlineStr">
        <is>
          <t>InAs Hall element on flex</t>
        </is>
      </c>
      <c r="D29" s="6" t="inlineStr">
        <is>
          <t>AKM</t>
        </is>
      </c>
      <c r="E29" s="6" t="inlineStr">
        <is>
          <t>HQ-0A11</t>
        </is>
      </c>
      <c r="F29" s="6" t="inlineStr">
        <is>
          <t>0.23 mm thick -- fits INSIDE the gap, 0.66 mV/mA/mT</t>
        </is>
      </c>
      <c r="G29" s="6" t="n">
        <v>4</v>
      </c>
      <c r="H29" s="8" t="inlineStr">
        <is>
          <t>n.a.</t>
        </is>
      </c>
      <c r="I29" s="7">
        <f>IF(N(H29)=0,"n.a.",G29*H29)</f>
        <v/>
      </c>
      <c r="J29" s="6" t="inlineStr">
        <is>
          <t>Mouser</t>
        </is>
      </c>
      <c r="K29" s="6" t="inlineStr">
        <is>
          <t>https://www.mouser.com/new/asahi-kasei-microdevices/akm-hq-0a11-element/</t>
        </is>
      </c>
    </row>
    <row r="30" ht="34" customHeight="1">
      <c r="A30" s="6" t="n">
        <v>2</v>
      </c>
      <c r="B30" s="6" t="inlineStr">
        <is>
          <t>Starter</t>
        </is>
      </c>
      <c r="C30" s="6" t="inlineStr">
        <is>
          <t>3-phase drive, designable I limit</t>
        </is>
      </c>
      <c r="D30" s="6" t="inlineStr">
        <is>
          <t>Trinamic / ADI</t>
        </is>
      </c>
      <c r="E30" s="6" t="inlineStr">
        <is>
          <t>TMC4671-EVAL</t>
        </is>
      </c>
      <c r="F30" s="6" t="inlineStr">
        <is>
          <t>16-bit ADC chain, choose shunt -&gt; 0.7 A regulation</t>
        </is>
      </c>
      <c r="G30" s="6" t="n">
        <v>1</v>
      </c>
      <c r="H30" s="7" t="n">
        <v>78.23999999999999</v>
      </c>
      <c r="I30" s="7">
        <f>IF(N(H30)=0,"n.a.",G30*H30)</f>
        <v/>
      </c>
      <c r="J30" s="6" t="inlineStr">
        <is>
          <t>Newark</t>
        </is>
      </c>
      <c r="K30" s="6" t="inlineStr">
        <is>
          <t>https://www.newark.com/trinamic-analog-devices/tmc4671-eval/eval-board-bdc-bldc-stepper-motor/dp/71AH5973</t>
        </is>
      </c>
    </row>
    <row r="31" ht="34" customHeight="1">
      <c r="A31" s="6" t="n">
        <v>2</v>
      </c>
      <c r="B31" s="6" t="inlineStr">
        <is>
          <t>Starter alt</t>
        </is>
      </c>
      <c r="C31" s="6" t="inlineStr">
        <is>
          <t>3-phase drive, turnkey</t>
        </is>
      </c>
      <c r="D31" s="6" t="inlineStr">
        <is>
          <t>ODrive</t>
        </is>
      </c>
      <c r="E31" s="6" t="inlineStr">
        <is>
          <t>ODrive S1</t>
        </is>
      </c>
      <c r="F31" s="6" t="inlineStr">
        <is>
          <t>Hall input, brake resistor regen. Coarse at 0.7 A</t>
        </is>
      </c>
      <c r="G31" s="6" t="n">
        <v>1</v>
      </c>
      <c r="H31" s="7" t="n">
        <v>149</v>
      </c>
      <c r="I31" s="7">
        <f>IF(N(H31)=0,"n.a.",G31*H31)</f>
        <v/>
      </c>
      <c r="J31" s="6" t="inlineStr">
        <is>
          <t>ODrive</t>
        </is>
      </c>
      <c r="K31" s="6" t="inlineStr">
        <is>
          <t>https://shop.odriverobotics.com/products/odrive-s1</t>
        </is>
      </c>
    </row>
    <row r="32" ht="19" customHeight="1">
      <c r="A32" s="6" t="n">
        <v>2</v>
      </c>
      <c r="B32" s="6" t="inlineStr">
        <is>
          <t>Starter</t>
        </is>
      </c>
      <c r="C32" s="6" t="inlineStr">
        <is>
          <t>PV panel, 20 W</t>
        </is>
      </c>
      <c r="D32" s="6" t="inlineStr">
        <is>
          <t>Newpowa</t>
        </is>
      </c>
      <c r="E32" s="6" t="inlineStr">
        <is>
          <t>NPA20S-12J</t>
        </is>
      </c>
      <c r="F32" s="6" t="inlineStr">
        <is>
          <t>19.08 V Vmp gives buck MPPT headroom</t>
        </is>
      </c>
      <c r="G32" s="6" t="n">
        <v>1</v>
      </c>
      <c r="H32" s="7" t="n">
        <v>39.99</v>
      </c>
      <c r="I32" s="7">
        <f>IF(N(H32)=0,"n.a.",G32*H32)</f>
        <v/>
      </c>
      <c r="J32" s="6" t="inlineStr">
        <is>
          <t>Newpowa</t>
        </is>
      </c>
      <c r="K32" s="6" t="inlineStr">
        <is>
          <t>https://www.newpowa.com/new-20w-monocrystalline-12v-solar-panel/</t>
        </is>
      </c>
    </row>
    <row r="33" ht="19" customHeight="1">
      <c r="A33" s="6" t="n">
        <v>2</v>
      </c>
      <c r="B33" s="6" t="inlineStr">
        <is>
          <t>Starter</t>
        </is>
      </c>
      <c r="C33" s="6" t="inlineStr">
        <is>
          <t>MPPT charge controller</t>
        </is>
      </c>
      <c r="D33" s="6" t="inlineStr">
        <is>
          <t>Genasun</t>
        </is>
      </c>
      <c r="E33" s="6" t="inlineStr">
        <is>
          <t>GV-5-Li</t>
        </is>
      </c>
      <c r="F33" s="6" t="inlineStr">
        <is>
          <t>5 A, explicit LiFePO4 profile</t>
        </is>
      </c>
      <c r="G33" s="6" t="n">
        <v>1</v>
      </c>
      <c r="H33" s="7" t="n">
        <v>99.95</v>
      </c>
      <c r="I33" s="7">
        <f>IF(N(H33)=0,"n.a.",G33*H33)</f>
        <v/>
      </c>
      <c r="J33" s="6" t="inlineStr">
        <is>
          <t>GigaParts</t>
        </is>
      </c>
      <c r="K33" s="6" t="inlineStr">
        <is>
          <t>https://www.gigaparts.com/genasun-5a-mppt-solar-charge-controller-for-lifepo4-batteries.html</t>
        </is>
      </c>
    </row>
    <row r="34" ht="19" customHeight="1">
      <c r="A34" s="6" t="n">
        <v>2</v>
      </c>
      <c r="B34" s="6" t="inlineStr">
        <is>
          <t>Starter</t>
        </is>
      </c>
      <c r="C34" s="6" t="inlineStr">
        <is>
          <t>12 V LiFePO4 pack</t>
        </is>
      </c>
      <c r="D34" s="6" t="inlineStr">
        <is>
          <t>Talentcell</t>
        </is>
      </c>
      <c r="E34" s="6" t="inlineStr">
        <is>
          <t>LF4011</t>
        </is>
      </c>
      <c r="F34" s="6" t="inlineStr">
        <is>
          <t>~77 Wh; PCM is NOT gear protection</t>
        </is>
      </c>
      <c r="G34" s="6" t="n">
        <v>1</v>
      </c>
      <c r="H34" s="7" t="n">
        <v>38.99</v>
      </c>
      <c r="I34" s="7">
        <f>IF(N(H34)=0,"n.a.",G34*H34)</f>
        <v/>
      </c>
      <c r="J34" s="6" t="inlineStr">
        <is>
          <t>Amazon</t>
        </is>
      </c>
      <c r="K34" s="6" t="inlineStr">
        <is>
          <t>https://www.amazon.com/TalentCell-LiFePO4-Battery-Rechargeable-Phosphate/dp/B08R1FWW5P</t>
        </is>
      </c>
    </row>
    <row r="35" ht="34" customHeight="1">
      <c r="A35" s="6" t="n">
        <v>2</v>
      </c>
      <c r="B35" s="6" t="inlineStr">
        <is>
          <t>Starter</t>
        </is>
      </c>
      <c r="C35" s="6" t="inlineStr">
        <is>
          <t>Boost 12 -&gt; 36 V</t>
        </is>
      </c>
      <c r="D35" s="6" t="inlineStr">
        <is>
          <t>Yanmis</t>
        </is>
      </c>
      <c r="E35" s="6" t="inlineStr">
        <is>
          <t>ASIN B07SJTFG9T</t>
        </is>
      </c>
      <c r="F35" s="6" t="inlineStr">
        <is>
          <t>8.5-50 V in, 10-60 V out, CC 0.2-12 A. No rev prot.</t>
        </is>
      </c>
      <c r="G35" s="6" t="n">
        <v>1</v>
      </c>
      <c r="H35" s="7" t="n">
        <v>9.84</v>
      </c>
      <c r="I35" s="7">
        <f>IF(N(H35)=0,"n.a.",G35*H35)</f>
        <v/>
      </c>
      <c r="J35" s="6" t="inlineStr">
        <is>
          <t>Amazon</t>
        </is>
      </c>
      <c r="K35" s="6" t="inlineStr">
        <is>
          <t>https://www.amazon.com/Voltage-Converter-Step-up-Constant-8-5V-50V/dp/B07SJTFG9T</t>
        </is>
      </c>
    </row>
    <row r="36" ht="34" customHeight="1">
      <c r="A36" s="6" t="n">
        <v>2</v>
      </c>
      <c r="B36" s="6" t="inlineStr">
        <is>
          <t>Starter</t>
        </is>
      </c>
      <c r="C36" s="6" t="inlineStr">
        <is>
          <t>Supercap cells, 6x 2.7 V/500 F</t>
        </is>
      </c>
      <c r="D36" s="6" t="inlineStr">
        <is>
          <t>Dsrva / Nanlaohu</t>
        </is>
      </c>
      <c r="E36" s="6" t="inlineStr">
        <is>
          <t>DF3556</t>
        </is>
      </c>
      <c r="F36" s="6" t="inlineStr">
        <is>
          <t>DERATE 50%: buyers measured 200-250 F</t>
        </is>
      </c>
      <c r="G36" s="6" t="n">
        <v>1</v>
      </c>
      <c r="H36" s="7" t="n">
        <v>23.39</v>
      </c>
      <c r="I36" s="7">
        <f>IF(N(H36)=0,"n.a.",G36*H36)</f>
        <v/>
      </c>
      <c r="J36" s="6" t="inlineStr">
        <is>
          <t>Amazon</t>
        </is>
      </c>
      <c r="K36" s="6" t="inlineStr">
        <is>
          <t>https://www.amazon.com/Capacitor-35X60mm-Suitable-Automotive-Rectifiers/dp/B08B16FJQR</t>
        </is>
      </c>
    </row>
    <row r="37" ht="19" customHeight="1">
      <c r="A37" s="6" t="n">
        <v>2</v>
      </c>
      <c r="B37" s="6" t="inlineStr">
        <is>
          <t>Starter</t>
        </is>
      </c>
      <c r="C37" s="6" t="inlineStr">
        <is>
          <t>Supercap balance board, 5S</t>
        </is>
      </c>
      <c r="D37" s="6" t="inlineStr">
        <is>
          <t>DJDK</t>
        </is>
      </c>
      <c r="E37" s="6" t="inlineStr">
        <is>
          <t>5-series 360-700 F</t>
        </is>
      </c>
      <c r="F37" s="6" t="inlineStr">
        <is>
          <t>Mandatory with the cells above</t>
        </is>
      </c>
      <c r="G37" s="6" t="n">
        <v>1</v>
      </c>
      <c r="H37" s="7" t="n">
        <v>16.99</v>
      </c>
      <c r="I37" s="7">
        <f>IF(N(H37)=0,"n.a.",G37*H37)</f>
        <v/>
      </c>
      <c r="J37" s="6" t="inlineStr">
        <is>
          <t>Amazon</t>
        </is>
      </c>
      <c r="K37" s="6" t="inlineStr">
        <is>
          <t>https://www.amazon.com/Capacitor-35X60mm-Suitable-Automotive-Rectifiers/dp/B08B16FJQR</t>
        </is>
      </c>
    </row>
    <row r="38" ht="34" customHeight="1">
      <c r="A38" s="6" t="n">
        <v>2</v>
      </c>
      <c r="B38" s="6" t="inlineStr">
        <is>
          <t>Starter</t>
        </is>
      </c>
      <c r="C38" s="6" t="inlineStr">
        <is>
          <t>Ideal-diode controller</t>
        </is>
      </c>
      <c r="D38" s="6" t="inlineStr">
        <is>
          <t>TI</t>
        </is>
      </c>
      <c r="E38" s="6" t="inlineStr">
        <is>
          <t>LM74700QDBVRQ1</t>
        </is>
      </c>
      <c r="F38" s="6" t="inlineStr">
        <is>
          <t>Reverse polarity + removes 0.5 V diode drop</t>
        </is>
      </c>
      <c r="G38" s="6" t="n">
        <v>2</v>
      </c>
      <c r="H38" s="7" t="n">
        <v>0.54</v>
      </c>
      <c r="I38" s="7">
        <f>IF(N(H38)=0,"n.a.",G38*H38)</f>
        <v/>
      </c>
      <c r="J38" s="6" t="inlineStr">
        <is>
          <t>TI</t>
        </is>
      </c>
      <c r="K38" s="6" t="inlineStr">
        <is>
          <t>https://www.ti.com/product/LM74700-Q1</t>
        </is>
      </c>
    </row>
    <row r="39" ht="34" customHeight="1">
      <c r="A39" s="6" t="n">
        <v>2</v>
      </c>
      <c r="B39" s="6" t="inlineStr">
        <is>
          <t>Starter</t>
        </is>
      </c>
      <c r="C39" s="6" t="inlineStr">
        <is>
          <t>Precharge resistor, 10 Ohm 5 W</t>
        </is>
      </c>
      <c r="D39" s="6" t="inlineStr">
        <is>
          <t>Jameco ValuePro</t>
        </is>
      </c>
      <c r="E39" s="6" t="inlineStr">
        <is>
          <t>CR5-10-RC</t>
        </is>
      </c>
      <c r="F39" s="6" t="inlineStr">
        <is>
          <t>Bypass by relay after 5 tau</t>
        </is>
      </c>
      <c r="G39" s="6" t="n">
        <v>2</v>
      </c>
      <c r="H39" s="7" t="n">
        <v>0.6899999999999999</v>
      </c>
      <c r="I39" s="7">
        <f>IF(N(H39)=0,"n.a.",G39*H39)</f>
        <v/>
      </c>
      <c r="J39" s="6" t="inlineStr">
        <is>
          <t>Jameco</t>
        </is>
      </c>
      <c r="K39" s="6" t="inlineStr">
        <is>
          <t>https://www.jameco.com/z/CR5-10-RC-Jameco-ValuePro-Resistor-Wirewound-10-Ohm-5-5-Watt-plusmn-400ppm-deg-C-Axial-Through-Hole_660375.html</t>
        </is>
      </c>
    </row>
    <row r="40" ht="19" customHeight="1">
      <c r="A40" s="6" t="n">
        <v>2</v>
      </c>
      <c r="B40" s="6" t="inlineStr">
        <is>
          <t>Starter</t>
        </is>
      </c>
      <c r="C40" s="6" t="inlineStr">
        <is>
          <t>Inrush limiter NTC</t>
        </is>
      </c>
      <c r="D40" s="6" t="inlineStr">
        <is>
          <t>Ametherm</t>
        </is>
      </c>
      <c r="E40" s="6" t="inlineStr">
        <is>
          <t>SL22 5R012</t>
        </is>
      </c>
      <c r="F40" s="6" t="inlineStr">
        <is>
          <t>Simpler alternative to relay sequencing</t>
        </is>
      </c>
      <c r="G40" s="6" t="n">
        <v>2</v>
      </c>
      <c r="H40" s="7" t="n">
        <v>1.71</v>
      </c>
      <c r="I40" s="7">
        <f>IF(N(H40)=0,"n.a.",G40*H40)</f>
        <v/>
      </c>
      <c r="J40" s="6" t="inlineStr">
        <is>
          <t>Newark</t>
        </is>
      </c>
      <c r="K40" s="6" t="inlineStr">
        <is>
          <t>https://www.newark.com/ametherm/sl22-5r012/ntc-thermistor/dp/72J6836</t>
        </is>
      </c>
    </row>
    <row r="41" ht="34" customHeight="1">
      <c r="A41" s="6" t="n">
        <v>2</v>
      </c>
      <c r="B41" s="6" t="inlineStr">
        <is>
          <t>Starter</t>
        </is>
      </c>
      <c r="C41" s="6" t="inlineStr">
        <is>
          <t>DC breaker, 48 V rated 10 A</t>
        </is>
      </c>
      <c r="D41" s="6" t="inlineStr">
        <is>
          <t>ETA</t>
        </is>
      </c>
      <c r="E41" s="6" t="inlineStr">
        <is>
          <t>1610-92-10A</t>
        </is>
      </c>
      <c r="F41" s="6" t="inlineStr">
        <is>
          <t>Hydraulic-magnetic. 32 V auto fuses are unsafe here</t>
        </is>
      </c>
      <c r="G41" s="6" t="n">
        <v>1</v>
      </c>
      <c r="H41" s="8" t="inlineStr">
        <is>
          <t>n.a.</t>
        </is>
      </c>
      <c r="I41" s="7">
        <f>IF(N(H41)=0,"n.a.",G41*H41)</f>
        <v/>
      </c>
      <c r="J41" s="6" t="inlineStr">
        <is>
          <t>Digi-Key</t>
        </is>
      </c>
      <c r="K41" s="6" t="inlineStr">
        <is>
          <t>https://www.digikey.com/en/products/detail/e-t-a/1610-92-10A/509844</t>
        </is>
      </c>
    </row>
    <row r="42" ht="19" customHeight="1">
      <c r="A42" s="6" t="n">
        <v>3</v>
      </c>
      <c r="B42" s="6" t="inlineStr">
        <is>
          <t>Starter opt B</t>
        </is>
      </c>
      <c r="C42" s="6" t="inlineStr">
        <is>
          <t>One-way clutch, 12 mm</t>
        </is>
      </c>
      <c r="D42" s="6" t="inlineStr">
        <is>
          <t>VXB</t>
        </is>
      </c>
      <c r="E42" s="6" t="inlineStr">
        <is>
          <t>CSK12PP</t>
        </is>
      </c>
      <c r="F42" s="6" t="inlineStr">
        <is>
          <t>Keyways both races, 22.5 N.m capacity</t>
        </is>
      </c>
      <c r="G42" s="6" t="n">
        <v>1</v>
      </c>
      <c r="H42" s="7" t="n">
        <v>22.49</v>
      </c>
      <c r="I42" s="7">
        <f>IF(N(H42)=0,"n.a.",G42*H42)</f>
        <v/>
      </c>
      <c r="J42" s="6" t="inlineStr">
        <is>
          <t>VXB</t>
        </is>
      </c>
      <c r="K42" s="6" t="inlineStr">
        <is>
          <t>https://vxb.com/products/csk12pp-one-way-bearing-with-keyway-sprag-freewhee</t>
        </is>
      </c>
    </row>
    <row r="43" ht="19" customHeight="1">
      <c r="A43" s="6" t="n">
        <v>3</v>
      </c>
      <c r="B43" s="6" t="inlineStr">
        <is>
          <t>Starter opt B</t>
        </is>
      </c>
      <c r="C43" s="6" t="inlineStr">
        <is>
          <t>Geared DC starter motor</t>
        </is>
      </c>
      <c r="D43" s="6" t="inlineStr">
        <is>
          <t>Pololu</t>
        </is>
      </c>
      <c r="E43" s="6" t="inlineStr">
        <is>
          <t>37D 30:1</t>
        </is>
      </c>
      <c r="F43" s="6" t="inlineStr">
        <is>
          <t>330 rpm, 1.37 N.m stall</t>
        </is>
      </c>
      <c r="G43" s="6" t="n">
        <v>1</v>
      </c>
      <c r="H43" s="8" t="inlineStr">
        <is>
          <t>n.a.</t>
        </is>
      </c>
      <c r="I43" s="7">
        <f>IF(N(H43)=0,"n.a.",G43*H43)</f>
        <v/>
      </c>
      <c r="J43" s="6" t="inlineStr">
        <is>
          <t>Pololu</t>
        </is>
      </c>
      <c r="K43" s="6" t="inlineStr">
        <is>
          <t>https://www.pololu.com/product/4743</t>
        </is>
      </c>
    </row>
    <row r="45">
      <c r="C45" s="3" t="inlineStr">
        <is>
          <t>Stage 1 subtotal</t>
        </is>
      </c>
      <c r="I45" s="9">
        <f>SUMIF($A$5:$A$43,1,$I$5:$I$43)</f>
        <v/>
      </c>
    </row>
    <row r="46">
      <c r="C46" s="3" t="inlineStr">
        <is>
          <t>Stage 2 subtotal</t>
        </is>
      </c>
      <c r="I46" s="9">
        <f>SUMIF($A$5:$A$43,2,$I$5:$I$43)</f>
        <v/>
      </c>
    </row>
    <row r="47">
      <c r="C47" s="3" t="inlineStr">
        <is>
          <t>Stage 3 subtotal</t>
        </is>
      </c>
      <c r="I47" s="9">
        <f>SUMIF($A$5:$A$43,3,$I$5:$I$43)</f>
        <v/>
      </c>
    </row>
    <row r="48">
      <c r="C48" s="3" t="inlineStr">
        <is>
          <t>Stage 4 subtotal (excl. GBP-priced Hirst items)</t>
        </is>
      </c>
      <c r="I48" s="9">
        <f>SUMIF($A$5:$A$43,4,$I$5:$I$43)</f>
        <v/>
      </c>
    </row>
    <row r="50">
      <c r="C50" s="3" t="inlineStr">
        <is>
          <t>Priced-line total</t>
        </is>
      </c>
      <c r="I50" s="9">
        <f>SUM($I$5:$I$43)</f>
        <v/>
      </c>
    </row>
    <row r="51">
      <c r="C51" s="10" t="inlineStr">
        <is>
          <t>Sales tax rate (edit)</t>
        </is>
      </c>
      <c r="H51" s="11" t="n">
        <v>0.0825</v>
      </c>
      <c r="I51" s="9">
        <f>I50*H51</f>
        <v/>
      </c>
    </row>
    <row r="52">
      <c r="C52" s="10" t="inlineStr">
        <is>
          <t>Shipping allowance (edit)</t>
        </is>
      </c>
      <c r="I52" s="9" t="n">
        <v>250</v>
      </c>
    </row>
    <row r="53">
      <c r="C53" s="12" t="inlineStr">
        <is>
          <t>GRAND TOTAL, priced lines</t>
        </is>
      </c>
      <c r="I53" s="13">
        <f>I50+I51+I52</f>
        <v/>
      </c>
    </row>
    <row r="55">
      <c r="C55" s="14" t="inlineStr">
        <is>
          <t>Unpriced lines (n.a.) still to quote: Hirst GM08 + TP002SP0.6 (GBP 780 + GBP 445 ex-VAT), ETA breaker, Pololu 37D, AKM HQ-0A11, ACS723 breakout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4" customWidth="1" min="3" max="3"/>
    <col width="18" customWidth="1" min="4" max="4"/>
    <col width="22" customWidth="1" min="5" max="5"/>
    <col width="46" customWidth="1" min="6" max="6"/>
  </cols>
  <sheetData>
    <row r="1">
      <c r="A1" s="1" t="inlineStr">
        <is>
          <t>DAQ channel map</t>
        </is>
      </c>
    </row>
    <row r="2">
      <c r="A2" s="2" t="inlineStr">
        <is>
          <t>18 analog channels at 10 kS/s = 180 kS/s aggregate = 0.36 MB/s = 432 MB per 20-min Gate 2 run</t>
        </is>
      </c>
    </row>
    <row r="4" ht="30" customHeight="1">
      <c r="A4" s="5" t="inlineStr">
        <is>
          <t>Ch</t>
        </is>
      </c>
      <c r="B4" s="5" t="inlineStr">
        <is>
          <t>Quantity</t>
        </is>
      </c>
      <c r="C4" s="5" t="inlineStr">
        <is>
          <t>Sensor</t>
        </is>
      </c>
      <c r="D4" s="5" t="inlineStr">
        <is>
          <t>Range</t>
        </is>
      </c>
      <c r="E4" s="5" t="inlineStr">
        <is>
          <t>Expected value</t>
        </is>
      </c>
      <c r="F4" s="5" t="inlineStr">
        <is>
          <t>Why this range</t>
        </is>
      </c>
    </row>
    <row r="5">
      <c r="A5" s="6" t="inlineStr">
        <is>
          <t>1</t>
        </is>
      </c>
      <c r="B5" s="6" t="inlineStr">
        <is>
          <t>tau_LS low-speed torque</t>
        </is>
      </c>
      <c r="C5" s="6" t="inlineStr">
        <is>
          <t>ATO TQS-DYN-200-01 rotary</t>
        </is>
      </c>
      <c r="D5" s="6" t="inlineStr">
        <is>
          <t>0-5 N.m</t>
        </is>
      </c>
      <c r="E5" s="6" t="inlineStr">
        <is>
          <t>2.400 N.m</t>
        </is>
      </c>
      <c r="F5" s="6" t="inlineStr">
        <is>
          <t>48% of FS -- correct sizing</t>
        </is>
      </c>
    </row>
    <row r="6">
      <c r="A6" s="6" t="inlineStr">
        <is>
          <t>2</t>
        </is>
      </c>
      <c r="B6" s="6" t="inlineStr">
        <is>
          <t>tau_HS high-speed torque</t>
        </is>
      </c>
      <c r="C6" s="6" t="inlineStr">
        <is>
          <t>ATO-TQS-D02 rotary</t>
        </is>
      </c>
      <c r="D6" s="6" t="inlineStr">
        <is>
          <t>0-1 N.m</t>
        </is>
      </c>
      <c r="E6" s="6" t="inlineStr">
        <is>
          <t>0.533 N.m</t>
        </is>
      </c>
      <c r="F6" s="6" t="inlineStr">
        <is>
          <t>53% of FS; no sub-1 N.m sensor is a stock item</t>
        </is>
      </c>
    </row>
    <row r="7">
      <c r="A7" s="6" t="inlineStr">
        <is>
          <t>3</t>
        </is>
      </c>
      <c r="B7" s="6" t="inlineStr">
        <is>
          <t>F_react modulator reaction</t>
        </is>
      </c>
      <c r="C7" s="6" t="inlineStr">
        <is>
          <t>DwyerOmega LCM703-5</t>
        </is>
      </c>
      <c r="D7" s="6" t="inlineStr">
        <is>
          <t>0-49 N</t>
        </is>
      </c>
      <c r="E7" s="6" t="inlineStr">
        <is>
          <t>33.33 N</t>
        </is>
      </c>
      <c r="F7" s="6" t="inlineStr">
        <is>
          <t>68% of FS; the reference port once the arm is measured</t>
        </is>
      </c>
    </row>
    <row r="8">
      <c r="A8" s="6" t="inlineStr">
        <is>
          <t>4</t>
        </is>
      </c>
      <c r="B8" s="6" t="inlineStr">
        <is>
          <t>n_LS shaft speed</t>
        </is>
      </c>
      <c r="C8" s="6" t="inlineStr">
        <is>
          <t>Gear-tooth pickup</t>
        </is>
      </c>
      <c r="D8" s="6" t="inlineStr">
        <is>
          <t>0-200 rpm</t>
        </is>
      </c>
      <c r="E8" s="6" t="inlineStr">
        <is>
          <t>90 rpm</t>
        </is>
      </c>
      <c r="F8" s="6" t="inlineStr">
        <is>
          <t>amplitude does not fade at 90 rpm</t>
        </is>
      </c>
    </row>
    <row r="9">
      <c r="A9" s="6" t="inlineStr">
        <is>
          <t>5</t>
        </is>
      </c>
      <c r="B9" s="6" t="inlineStr">
        <is>
          <t>n_HS shaft speed</t>
        </is>
      </c>
      <c r="C9" s="6" t="inlineStr">
        <is>
          <t>Gear-tooth / hub Halls (90/rev)</t>
        </is>
      </c>
      <c r="D9" s="6" t="inlineStr">
        <is>
          <t>0-800 rpm</t>
        </is>
      </c>
      <c r="E9" s="6" t="inlineStr">
        <is>
          <t>405 rpm</t>
        </is>
      </c>
      <c r="F9" s="6" t="inlineStr">
        <is>
          <t>4.5x LS by design</t>
        </is>
      </c>
    </row>
    <row r="10">
      <c r="A10" s="6" t="inlineStr">
        <is>
          <t>6</t>
        </is>
      </c>
      <c r="B10" s="6" t="inlineStr">
        <is>
          <t>theta_HS absolute angle</t>
        </is>
      </c>
      <c r="C10" s="6" t="inlineStr">
        <is>
          <t>AS5047P 14-bit</t>
        </is>
      </c>
      <c r="D10" s="6" t="inlineStr">
        <is>
          <t>360 deg</t>
        </is>
      </c>
      <c r="E10" s="6" t="inlineStr">
        <is>
          <t>0.022 deg res</t>
        </is>
      </c>
      <c r="F10" s="6" t="inlineStr">
        <is>
          <t>phase-lock the 74.25 Hz ripple</t>
        </is>
      </c>
    </row>
    <row r="11">
      <c r="A11" s="6" t="inlineStr">
        <is>
          <t>7</t>
        </is>
      </c>
      <c r="B11" s="6" t="inlineStr">
        <is>
          <t>theta_LS absolute angle</t>
        </is>
      </c>
      <c r="C11" s="6" t="inlineStr">
        <is>
          <t>AS5047P 14-bit</t>
        </is>
      </c>
      <c r="D11" s="6" t="inlineStr">
        <is>
          <t>360 deg</t>
        </is>
      </c>
      <c r="E11" s="6" t="inlineStr">
        <is>
          <t>0.022 deg res</t>
        </is>
      </c>
      <c r="F11" s="6" t="inlineStr">
        <is>
          <t>phase reference for the 11-pole harmonic</t>
        </is>
      </c>
    </row>
    <row r="12">
      <c r="A12" s="6" t="inlineStr">
        <is>
          <t>8</t>
        </is>
      </c>
      <c r="B12" s="6" t="inlineStr">
        <is>
          <t>T_frame</t>
        </is>
      </c>
      <c r="C12" s="6" t="inlineStr">
        <is>
          <t>TMP117</t>
        </is>
      </c>
      <c r="D12" s="6" t="inlineStr">
        <is>
          <t>20-90 C</t>
        </is>
      </c>
      <c r="E12" s="6" t="inlineStr">
        <is>
          <t>&lt;50 C at 20 min</t>
        </is>
      </c>
      <c r="F12" s="6" t="inlineStr">
        <is>
          <t>Gate 2 limit is 50 C</t>
        </is>
      </c>
    </row>
    <row r="13">
      <c r="A13" s="6" t="inlineStr">
        <is>
          <t>9</t>
        </is>
      </c>
      <c r="B13" s="6" t="inlineStr">
        <is>
          <t>T_magnet pocket HS</t>
        </is>
      </c>
      <c r="C13" s="6" t="inlineStr">
        <is>
          <t>PT100 + MAX31865</t>
        </is>
      </c>
      <c r="D13" s="6" t="inlineStr">
        <is>
          <t>20-90 C</t>
        </is>
      </c>
      <c r="E13" s="6" t="inlineStr">
        <is>
          <t>&lt;60 C</t>
        </is>
      </c>
      <c r="F13" s="6" t="inlineStr">
        <is>
          <t>drives the -0.220%/C torque term</t>
        </is>
      </c>
    </row>
    <row r="14">
      <c r="A14" s="6" t="inlineStr">
        <is>
          <t>10</t>
        </is>
      </c>
      <c r="B14" s="6" t="inlineStr">
        <is>
          <t>T_magnet pocket LS</t>
        </is>
      </c>
      <c r="C14" s="6" t="inlineStr">
        <is>
          <t>PT100 + MAX31865</t>
        </is>
      </c>
      <c r="D14" s="6" t="inlineStr">
        <is>
          <t>20-90 C</t>
        </is>
      </c>
      <c r="E14" s="6" t="inlineStr">
        <is>
          <t>&lt;60 C</t>
        </is>
      </c>
      <c r="F14" s="6" t="inlineStr">
        <is>
          <t>as above</t>
        </is>
      </c>
    </row>
    <row r="15">
      <c r="A15" s="6" t="inlineStr">
        <is>
          <t>11</t>
        </is>
      </c>
      <c r="B15" s="6" t="inlineStr">
        <is>
          <t>T_bearing housing</t>
        </is>
      </c>
      <c r="C15" s="6" t="inlineStr">
        <is>
          <t>TMP117</t>
        </is>
      </c>
      <c r="D15" s="6" t="inlineStr">
        <is>
          <t>20-90 C</t>
        </is>
      </c>
      <c r="E15" s="6" t="inlineStr">
        <is>
          <t>ambient +10 C</t>
        </is>
      </c>
      <c r="F15" s="6" t="inlineStr">
        <is>
          <t>separates bearing drag from magnetic loss</t>
        </is>
      </c>
    </row>
    <row r="16">
      <c r="A16" s="6" t="inlineStr">
        <is>
          <t>12</t>
        </is>
      </c>
      <c r="B16" s="6" t="inlineStr">
        <is>
          <t>V_bus</t>
        </is>
      </c>
      <c r="C16" s="6" t="inlineStr">
        <is>
          <t>INA228</t>
        </is>
      </c>
      <c r="D16" s="6" t="inlineStr">
        <is>
          <t>0-85 V</t>
        </is>
      </c>
      <c r="E16" s="6" t="inlineStr">
        <is>
          <t>36 V</t>
        </is>
      </c>
      <c r="F16" s="6" t="inlineStr">
        <is>
          <t>40 V worst case; INA219 at 26 V would fail</t>
        </is>
      </c>
    </row>
    <row r="17">
      <c r="A17" s="6" t="inlineStr">
        <is>
          <t>13</t>
        </is>
      </c>
      <c r="B17" s="6" t="inlineStr">
        <is>
          <t>I_bus</t>
        </is>
      </c>
      <c r="C17" s="6" t="inlineStr">
        <is>
          <t>INA228 + 15 mOhm</t>
        </is>
      </c>
      <c r="D17" s="6" t="inlineStr">
        <is>
          <t>0-10 A</t>
        </is>
      </c>
      <c r="E17" s="6" t="inlineStr">
        <is>
          <t>0.277-0.700 A</t>
        </is>
      </c>
      <c r="F17" s="6" t="inlineStr">
        <is>
          <t>10 uA LSB verifies the 0.70 A gear limit</t>
        </is>
      </c>
    </row>
    <row r="18">
      <c r="A18" s="6" t="inlineStr">
        <is>
          <t>14-16</t>
        </is>
      </c>
      <c r="B18" s="6" t="inlineStr">
        <is>
          <t>Phase voltage x3</t>
        </is>
      </c>
      <c r="C18" s="6" t="inlineStr">
        <is>
          <t>resistive dividers -&gt; DAQ</t>
        </is>
      </c>
      <c r="D18" s="6" t="inlineStr">
        <is>
          <t>+/-40 V</t>
        </is>
      </c>
      <c r="E18" s="6" t="inlineStr">
        <is>
          <t>30.2 V bemf</t>
        </is>
      </c>
      <c r="F18" s="6" t="inlineStr">
        <is>
          <t>3-phase power computed on the DAQ</t>
        </is>
      </c>
    </row>
    <row r="19">
      <c r="A19" s="6" t="inlineStr">
        <is>
          <t>17</t>
        </is>
      </c>
      <c r="B19" s="6" t="inlineStr">
        <is>
          <t>Phase current</t>
        </is>
      </c>
      <c r="C19" s="6" t="inlineStr">
        <is>
          <t>ACS723 low-current</t>
        </is>
      </c>
      <c r="D19" s="6" t="inlineStr">
        <is>
          <t>+/-5 A</t>
        </is>
      </c>
      <c r="E19" s="6" t="inlineStr">
        <is>
          <t>&lt;3 A</t>
        </is>
      </c>
      <c r="F19" s="6" t="inlineStr">
        <is>
          <t>34 kHz bandwidth</t>
        </is>
      </c>
    </row>
    <row r="20">
      <c r="A20" s="6" t="inlineStr">
        <is>
          <t>18</t>
        </is>
      </c>
      <c r="B20" s="6" t="inlineStr">
        <is>
          <t>Vibration</t>
        </is>
      </c>
      <c r="C20" s="6" t="inlineStr">
        <is>
          <t>ADXL343 (or IIS3DWB)</t>
        </is>
      </c>
      <c r="D20" s="6" t="inlineStr">
        <is>
          <t>+/-2 g, &gt;2 kHz</t>
        </is>
      </c>
      <c r="E20" s="6" t="inlineStr">
        <is>
          <t>&lt;0.5 g</t>
        </is>
      </c>
      <c r="F20" s="6" t="inlineStr">
        <is>
          <t>74.25 Hz fundamental to 22nd harmonic</t>
        </is>
      </c>
    </row>
    <row r="21">
      <c r="A21" s="6" t="inlineStr">
        <is>
          <t>aux</t>
        </is>
      </c>
      <c r="B21" s="6" t="inlineStr">
        <is>
          <t>B_gap airgap flux</t>
        </is>
      </c>
      <c r="C21" s="6" t="inlineStr">
        <is>
          <t>Hirst GM08 + TP002SP0.6</t>
        </is>
      </c>
      <c r="D21" s="6" t="inlineStr">
        <is>
          <t>0-3.000 T</t>
        </is>
      </c>
      <c r="E21" s="6" t="inlineStr">
        <is>
          <t>1.113 T</t>
        </is>
      </c>
      <c r="F21" s="6" t="inlineStr">
        <is>
          <t>probe MUST be &lt;0.80 mm thick</t>
        </is>
      </c>
    </row>
    <row r="23">
      <c r="B23" s="3" t="inlineStr">
        <is>
          <t>Modulation frequency f_mod</t>
        </is>
      </c>
      <c r="C23" s="10" t="inlineStr">
        <is>
          <t>74.25 Hz</t>
        </is>
      </c>
    </row>
    <row r="24">
      <c r="B24" s="3" t="inlineStr">
        <is>
          <t>10th harmonic</t>
        </is>
      </c>
      <c r="C24" s="10" t="inlineStr">
        <is>
          <t>742.5 Hz</t>
        </is>
      </c>
    </row>
    <row r="25">
      <c r="B25" s="3" t="inlineStr">
        <is>
          <t>Nyquist minimum per channel</t>
        </is>
      </c>
      <c r="C25" s="10" t="inlineStr">
        <is>
          <t>1.485 kS/s</t>
        </is>
      </c>
    </row>
    <row r="26">
      <c r="B26" s="3" t="inlineStr">
        <is>
          <t>Specified per channel</t>
        </is>
      </c>
      <c r="C26" s="10" t="inlineStr">
        <is>
          <t>10 kS/s (6.7x margin)</t>
        </is>
      </c>
    </row>
    <row r="27">
      <c r="B27" s="3" t="inlineStr">
        <is>
          <t>Encoder pulse rate at 1024 CPR, 405 rpm</t>
        </is>
      </c>
      <c r="C27" s="10" t="inlineStr">
        <is>
          <t>6.912 kHz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4" customWidth="1" min="4" max="4"/>
    <col width="18" customWidth="1" min="5" max="5"/>
    <col width="24" customWidth="1" min="6" max="6"/>
    <col width="46" customWidth="1" min="7" max="7"/>
  </cols>
  <sheetData>
    <row r="1">
      <c r="A1" s="1" t="inlineStr">
        <is>
          <t>Measurement uncertainty budget</t>
        </is>
      </c>
    </row>
    <row r="2">
      <c r="A2" s="2" t="inlineStr">
        <is>
          <t>Live formulas. Change a full scale or accuracy class in column D/E and every downstream figure moves.</t>
        </is>
      </c>
    </row>
    <row r="4">
      <c r="A4" s="12" t="inlineStr">
        <is>
          <t>Operating point</t>
        </is>
      </c>
    </row>
    <row r="5">
      <c r="A5" s="3" t="inlineStr">
        <is>
          <t>tau_LS</t>
        </is>
      </c>
      <c r="B5" s="15" t="n">
        <v>2.4</v>
      </c>
      <c r="C5" s="10" t="inlineStr">
        <is>
          <t>N.m</t>
        </is>
      </c>
    </row>
    <row r="6">
      <c r="A6" s="3" t="inlineStr">
        <is>
          <t>tau_HS</t>
        </is>
      </c>
      <c r="B6" s="15" t="n">
        <v>0.5333329999999999</v>
      </c>
      <c r="C6" s="10" t="inlineStr">
        <is>
          <t>N.m</t>
        </is>
      </c>
    </row>
    <row r="7">
      <c r="A7" s="3" t="inlineStr">
        <is>
          <t>tau_react</t>
        </is>
      </c>
      <c r="B7" s="15" t="n">
        <v>2.933333</v>
      </c>
      <c r="C7" s="10" t="inlineStr">
        <is>
          <t>N.m</t>
        </is>
      </c>
    </row>
    <row r="8">
      <c r="A8" s="3" t="inlineStr">
        <is>
          <t>Arm force</t>
        </is>
      </c>
      <c r="B8" s="15" t="n">
        <v>33.3333</v>
      </c>
      <c r="C8" s="10" t="inlineStr">
        <is>
          <t>N</t>
        </is>
      </c>
    </row>
    <row r="9">
      <c r="A9" s="3" t="inlineStr">
        <is>
          <t>Arm length</t>
        </is>
      </c>
      <c r="B9" s="15" t="n">
        <v>0.08799999999999999</v>
      </c>
      <c r="C9" s="10" t="inlineStr">
        <is>
          <t>m</t>
        </is>
      </c>
    </row>
    <row r="10">
      <c r="A10" s="3" t="inlineStr">
        <is>
          <t>P_in</t>
        </is>
      </c>
      <c r="B10" s="15" t="n">
        <v>22.6195</v>
      </c>
      <c r="C10" s="10" t="inlineStr">
        <is>
          <t>W</t>
        </is>
      </c>
    </row>
    <row r="11">
      <c r="A11" s="3" t="inlineStr">
        <is>
          <t>P_out</t>
        </is>
      </c>
      <c r="B11" s="15" t="n">
        <v>20.3612</v>
      </c>
      <c r="C11" s="10" t="inlineStr">
        <is>
          <t>W</t>
        </is>
      </c>
    </row>
    <row r="12">
      <c r="A12" s="3" t="inlineStr">
        <is>
          <t>P_loss</t>
        </is>
      </c>
      <c r="B12" s="15" t="n">
        <v>2.2582</v>
      </c>
      <c r="C12" s="10" t="inlineStr">
        <is>
          <t>W</t>
        </is>
      </c>
    </row>
    <row r="13">
      <c r="A13" s="3" t="inlineStr">
        <is>
          <t>Eddy term</t>
        </is>
      </c>
      <c r="B13" s="15" t="n">
        <v>0.18225</v>
      </c>
      <c r="C13" s="10" t="inlineStr">
        <is>
          <t>W</t>
        </is>
      </c>
    </row>
    <row r="14">
      <c r="A14" s="3" t="inlineStr">
        <is>
          <t>eta</t>
        </is>
      </c>
      <c r="B14" s="15" t="n">
        <v>0.900165</v>
      </c>
      <c r="C14" s="10" t="inlineStr">
        <is>
          <t>-</t>
        </is>
      </c>
    </row>
    <row r="16">
      <c r="A16" s="12" t="inlineStr">
        <is>
          <t>Per-channel contribution</t>
        </is>
      </c>
    </row>
    <row r="17" ht="30" customHeight="1">
      <c r="A17" s="5" t="inlineStr">
        <is>
          <t>Channel</t>
        </is>
      </c>
      <c r="B17" s="5" t="inlineStr">
        <is>
          <t>Reading</t>
        </is>
      </c>
      <c r="C17" s="5" t="inlineStr">
        <is>
          <t>Unit</t>
        </is>
      </c>
      <c r="D17" s="5" t="inlineStr">
        <is>
          <t>Full scale</t>
        </is>
      </c>
      <c r="E17" s="5" t="inlineStr">
        <is>
          <t>Acc %FS</t>
        </is>
      </c>
      <c r="F17" s="5" t="inlineStr">
        <is>
          <t>u, % of reading</t>
        </is>
      </c>
      <c r="G17" s="5" t="inlineStr">
        <is>
          <t>Comment</t>
        </is>
      </c>
    </row>
    <row r="18">
      <c r="A18" s="16" t="inlineStr">
        <is>
          <t>Rotary 5 N.m FS, commodity 0.5% FS class</t>
        </is>
      </c>
      <c r="B18" s="17">
        <f>B5</f>
        <v/>
      </c>
      <c r="C18" s="16" t="inlineStr">
        <is>
          <t>N.m</t>
        </is>
      </c>
      <c r="D18" s="16" t="n">
        <v>5</v>
      </c>
      <c r="E18" s="16" t="n">
        <v>0.5</v>
      </c>
      <c r="F18" s="18">
        <f>100*(E18/100)*D18/B18</f>
        <v/>
      </c>
      <c r="G18" s="19" t="inlineStr">
        <is>
          <t>2.400 N.m reading</t>
        </is>
      </c>
    </row>
    <row r="19">
      <c r="A19" s="16" t="inlineStr">
        <is>
          <t>Rotary 5 N.m FS, lab 0.1% FS class</t>
        </is>
      </c>
      <c r="B19" s="17">
        <f>B5</f>
        <v/>
      </c>
      <c r="C19" s="16" t="inlineStr">
        <is>
          <t>N.m</t>
        </is>
      </c>
      <c r="D19" s="16" t="n">
        <v>5</v>
      </c>
      <c r="E19" s="16" t="n">
        <v>0.1</v>
      </c>
      <c r="F19" s="18">
        <f>100*(E19/100)*D19/B19</f>
        <v/>
      </c>
      <c r="G19" s="19" t="inlineStr">
        <is>
          <t>the class you need to see eddy loss</t>
        </is>
      </c>
    </row>
    <row r="20">
      <c r="A20" s="16" t="inlineStr">
        <is>
          <t>Rotary 1 N.m FS, commodity 0.5% FS class</t>
        </is>
      </c>
      <c r="B20" s="17">
        <f>B6</f>
        <v/>
      </c>
      <c r="C20" s="16" t="inlineStr">
        <is>
          <t>N.m</t>
        </is>
      </c>
      <c r="D20" s="16" t="n">
        <v>1</v>
      </c>
      <c r="E20" s="16" t="n">
        <v>0.5</v>
      </c>
      <c r="F20" s="18">
        <f>100*(E20/100)*D20/B20</f>
        <v/>
      </c>
      <c r="G20" s="19" t="inlineStr">
        <is>
          <t>0.533 N.m reading</t>
        </is>
      </c>
    </row>
    <row r="21">
      <c r="A21" s="16" t="inlineStr">
        <is>
          <t>Rotary 1 N.m FS, lab 0.1% FS class</t>
        </is>
      </c>
      <c r="B21" s="17">
        <f>B6</f>
        <v/>
      </c>
      <c r="C21" s="16" t="inlineStr">
        <is>
          <t>N.m</t>
        </is>
      </c>
      <c r="D21" s="16" t="n">
        <v>1</v>
      </c>
      <c r="E21" s="16" t="n">
        <v>0.1</v>
      </c>
      <c r="F21" s="18">
        <f>100*(E21/100)*D21/B21</f>
        <v/>
      </c>
      <c r="G21" s="19" t="inlineStr"/>
    </row>
    <row r="22">
      <c r="A22" s="16" t="inlineStr">
        <is>
          <t>Rotary 20 N.m FS on 2.400 N.m</t>
        </is>
      </c>
      <c r="B22" s="17">
        <f>B5</f>
        <v/>
      </c>
      <c r="C22" s="16" t="inlineStr">
        <is>
          <t>N.m</t>
        </is>
      </c>
      <c r="D22" s="16" t="n">
        <v>20</v>
      </c>
      <c r="E22" s="16" t="n">
        <v>0.5</v>
      </c>
      <c r="F22" s="18">
        <f>100*(E22/100)*D22/B22</f>
        <v/>
      </c>
      <c r="G22" s="19" t="inlineStr">
        <is>
          <t>THE OVER-RANGING TRAP</t>
        </is>
      </c>
    </row>
    <row r="23">
      <c r="A23" s="16" t="inlineStr">
        <is>
          <t>Load cell 50 N FS, 0.05% FS</t>
        </is>
      </c>
      <c r="B23" s="17">
        <f>B8</f>
        <v/>
      </c>
      <c r="C23" s="16" t="inlineStr">
        <is>
          <t>N</t>
        </is>
      </c>
      <c r="D23" s="16" t="n">
        <v>50</v>
      </c>
      <c r="E23" s="16" t="n">
        <v>0.05</v>
      </c>
      <c r="F23" s="18">
        <f>100*(E23/100)*D23/B23</f>
        <v/>
      </c>
      <c r="G23" s="19" t="inlineStr">
        <is>
          <t>arm force 33.33 N = 68% FS</t>
        </is>
      </c>
    </row>
    <row r="24">
      <c r="A24" s="16" t="inlineStr">
        <is>
          <t>Load cell 100 N FS, 0.10% FS</t>
        </is>
      </c>
      <c r="B24" s="17">
        <f>B8</f>
        <v/>
      </c>
      <c r="C24" s="16" t="inlineStr">
        <is>
          <t>N</t>
        </is>
      </c>
      <c r="D24" s="16" t="n">
        <v>100</v>
      </c>
      <c r="E24" s="16" t="n">
        <v>0.1</v>
      </c>
      <c r="F24" s="18">
        <f>100*(E24/100)*D24/B24</f>
        <v/>
      </c>
      <c r="G24" s="19" t="inlineStr"/>
    </row>
    <row r="25">
      <c r="A25" s="16" t="inlineStr">
        <is>
          <t>Load cell 200 N FS, 0.10% FS</t>
        </is>
      </c>
      <c r="B25" s="17">
        <f>B8</f>
        <v/>
      </c>
      <c r="C25" s="16" t="inlineStr">
        <is>
          <t>N</t>
        </is>
      </c>
      <c r="D25" s="16" t="n">
        <v>200</v>
      </c>
      <c r="E25" s="16" t="n">
        <v>0.1</v>
      </c>
      <c r="F25" s="18">
        <f>100*(E25/100)*D25/B25</f>
        <v/>
      </c>
      <c r="G25" s="19" t="inlineStr">
        <is>
          <t>4x worse than a correctly sized cell</t>
        </is>
      </c>
    </row>
    <row r="27">
      <c r="A27" s="12" t="inlineStr">
        <is>
          <t>Arm-length term -- the dominant error in the reaction channel</t>
        </is>
      </c>
    </row>
    <row r="28">
      <c r="A28" s="10" t="inlineStr">
        <is>
          <t>Arm tolerance (m, edit)</t>
        </is>
      </c>
      <c r="B28" s="20" t="n">
        <v>0.0005</v>
      </c>
      <c r="F28" s="21">
        <f>100*B28/B9</f>
        <v/>
      </c>
      <c r="G28" s="14" t="inlineStr">
        <is>
          <t>+/-0.5 mm on 88 mm -- worse than the load cell itself</t>
        </is>
      </c>
    </row>
    <row r="29">
      <c r="A29" s="3" t="inlineStr">
        <is>
          <t>u(tau_react), combined in quadrature</t>
        </is>
      </c>
      <c r="F29" s="21">
        <f>SQRT(F23^2+F28^2)</f>
        <v/>
      </c>
      <c r="G29" s="22" t="inlineStr">
        <is>
          <t>set the arm tolerance to 0.00005 m and watch this drop to ~0.094%</t>
        </is>
      </c>
    </row>
    <row r="30">
      <c r="A30" s="10" t="inlineStr">
        <is>
          <t>u(tau_react) in N.m</t>
        </is>
      </c>
      <c r="B30" s="20">
        <f>B7*F29/100</f>
        <v/>
      </c>
    </row>
    <row r="32">
      <c r="A32" s="12" t="inlineStr">
        <is>
          <t>Propagated efficiency and loss</t>
        </is>
      </c>
    </row>
    <row r="33" ht="30" customHeight="1">
      <c r="A33" s="5" t="inlineStr">
        <is>
          <t>Case</t>
        </is>
      </c>
      <c r="B33" s="5" t="inlineStr">
        <is>
          <t>u(eta) rel %</t>
        </is>
      </c>
      <c r="C33" s="5" t="inlineStr">
        <is>
          <t>eta, points</t>
        </is>
      </c>
      <c r="D33" s="5" t="inlineStr">
        <is>
          <t>u(P_loss), W</t>
        </is>
      </c>
      <c r="E33" s="5" t="inlineStr">
        <is>
          <t>u(P_loss) % of loss</t>
        </is>
      </c>
      <c r="F33" s="5" t="inlineStr">
        <is>
          <t>Eddy 0.182 W resolvable?</t>
        </is>
      </c>
      <c r="G33" s="5" t="inlineStr">
        <is>
          <t>Comment</t>
        </is>
      </c>
    </row>
    <row r="34">
      <c r="A34" s="23" t="inlineStr">
        <is>
          <t>A - two commodity 0.5% FS rotary sensors</t>
        </is>
      </c>
      <c r="B34" s="24">
        <f>SQRT(F18^2+F20^2)</f>
        <v/>
      </c>
      <c r="C34" s="24">
        <f>100*B14*B34/100</f>
        <v/>
      </c>
      <c r="D34" s="24">
        <f>SQRT((B10*F18/100)^2+(B11*F20/100)^2)</f>
        <v/>
      </c>
      <c r="E34" s="25">
        <f>100*D34/B12</f>
        <v/>
      </c>
      <c r="F34" s="23">
        <f>IF(D34&lt;B13,"YES","NO")</f>
        <v/>
      </c>
      <c r="G34" s="26" t="n"/>
    </row>
    <row r="35">
      <c r="A35" s="23" t="inlineStr">
        <is>
          <t>B - two lab-grade 0.1% FS rotary sensors</t>
        </is>
      </c>
      <c r="B35" s="24">
        <f>SQRT(F19^2+F21^2)</f>
        <v/>
      </c>
      <c r="C35" s="24">
        <f>100*B14*B35/100</f>
        <v/>
      </c>
      <c r="D35" s="24">
        <f>SQRT((B10*F19/100)^2+(B11*F21/100)^2)</f>
        <v/>
      </c>
      <c r="E35" s="25">
        <f>100*D35/B12</f>
        <v/>
      </c>
      <c r="F35" s="23">
        <f>IF(D35&lt;B13,"YES","NO")</f>
        <v/>
      </c>
      <c r="G35" s="26" t="n"/>
    </row>
    <row r="37">
      <c r="A37" s="12" t="inlineStr">
        <is>
          <t>Coast-down method (RECOMMENDED PRIMARY)</t>
        </is>
      </c>
    </row>
    <row r="38">
      <c r="A38" s="10" t="inlineStr">
        <is>
          <t>J_eq referred to HS, kg.m2</t>
        </is>
      </c>
      <c r="B38" s="27" t="n">
        <v>0.003743</v>
      </c>
      <c r="G38" s="28" t="inlineStr">
        <is>
          <t>J_HS + J_LS/G^2</t>
        </is>
      </c>
    </row>
    <row r="39">
      <c r="A39" s="10" t="inlineStr">
        <is>
          <t>tau_loss referred to HS, N.m</t>
        </is>
      </c>
      <c r="B39" s="27" t="n">
        <v>0.053246</v>
      </c>
      <c r="G39" s="28" t="inlineStr">
        <is>
          <t>what coast-down measures</t>
        </is>
      </c>
    </row>
    <row r="40">
      <c r="A40" s="10" t="inlineStr">
        <is>
          <t>Coast-down time from 405 rpm, s</t>
        </is>
      </c>
      <c r="B40" s="21" t="n">
        <v>2.9816</v>
      </c>
      <c r="G40" s="28" t="inlineStr">
        <is>
          <t>log at full 10 kS/s; fit dw/dt over windows</t>
        </is>
      </c>
    </row>
    <row r="41">
      <c r="A41" s="10" t="inlineStr">
        <is>
          <t>Mean deceleration, rad/s2</t>
        </is>
      </c>
      <c r="B41" s="21" t="n">
        <v>14.2246</v>
      </c>
      <c r="G41" s="28" t="inlineStr"/>
    </row>
    <row r="42">
      <c r="A42" s="10" t="inlineStr">
        <is>
          <t>u(J) assumed, % (edit)</t>
        </is>
      </c>
      <c r="B42" s="29" t="n">
        <v>2</v>
      </c>
      <c r="G42" s="28" t="inlineStr">
        <is>
          <t>2% needs a bifilar-pendulum check; CAD alone gives ~10%</t>
        </is>
      </c>
    </row>
    <row r="43">
      <c r="A43" s="3" t="inlineStr">
        <is>
          <t>u(tau_loss), % of reading</t>
        </is>
      </c>
      <c r="B43" s="21">
        <f>SQRT(B42^2+1^2)</f>
        <v/>
      </c>
      <c r="G43" s="28" t="inlineStr">
        <is>
          <t>J uncertainty combined with a 1% speed-fit term</t>
        </is>
      </c>
    </row>
    <row r="44">
      <c r="A44" s="10" t="inlineStr">
        <is>
          <t>u(tau_loss), mN.m</t>
        </is>
      </c>
      <c r="B44" s="21">
        <f>1000*0.053246*B43/100</f>
        <v/>
      </c>
    </row>
    <row r="45">
      <c r="A45" s="3" t="inlineStr">
        <is>
          <t>Verdict</t>
        </is>
      </c>
      <c r="B45" s="30" t="inlineStr">
        <is>
          <t>Coast-down at u(J)=2% beats the commodity power-path method by ~6x and matches lab-grade rotary sensors, using only an encoder and a known inertia.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0" customWidth="1" min="3" max="3"/>
    <col width="38" customWidth="1" min="4" max="4"/>
    <col width="22" customWidth="1" min="5" max="5"/>
  </cols>
  <sheetData>
    <row r="1">
      <c r="A1" s="1" t="inlineStr">
        <is>
          <t>Gate acceptance bands</t>
        </is>
      </c>
    </row>
    <row r="2">
      <c r="A2" s="2" t="inlineStr">
        <is>
          <t>A prediction that cannot be falsified by a channel on the Channel Map is not a prediction.</t>
        </is>
      </c>
    </row>
    <row r="4" ht="30" customHeight="1">
      <c r="A4" s="5" t="inlineStr">
        <is>
          <t>Gate</t>
        </is>
      </c>
      <c r="B4" s="5" t="inlineStr">
        <is>
          <t>Prediction</t>
        </is>
      </c>
      <c r="C4" s="5" t="inlineStr">
        <is>
          <t>Expected</t>
        </is>
      </c>
      <c r="D4" s="5" t="inlineStr">
        <is>
          <t>Accept if</t>
        </is>
      </c>
      <c r="E4" s="5" t="inlineStr">
        <is>
          <t>Channels</t>
        </is>
      </c>
    </row>
    <row r="5">
      <c r="A5" s="6" t="inlineStr">
        <is>
          <t>0</t>
        </is>
      </c>
      <c r="B5" s="6" t="inlineStr">
        <is>
          <t>11 detents per LS revolution, no rub</t>
        </is>
      </c>
      <c r="C5" s="6" t="inlineStr">
        <is>
          <t>countable</t>
        </is>
      </c>
      <c r="D5" s="6" t="inlineStr">
        <is>
          <t>detents countable, no scrape</t>
        </is>
      </c>
      <c r="E5" s="6" t="inlineStr">
        <is>
          <t>hand</t>
        </is>
      </c>
    </row>
    <row r="6">
      <c r="A6" s="6" t="inlineStr">
        <is>
          <t>0</t>
        </is>
      </c>
      <c r="B6" s="6" t="inlineStr">
        <is>
          <t>Gap uniform at 0.80 mm</t>
        </is>
      </c>
      <c r="C6" s="6" t="inlineStr">
        <is>
          <t>0.80 mm</t>
        </is>
      </c>
      <c r="D6" s="6" t="inlineStr">
        <is>
          <t>0.80 pin passes everywhere, 0.85 nowhere</t>
        </is>
      </c>
      <c r="E6" s="6" t="inlineStr">
        <is>
          <t>pin gauges</t>
        </is>
      </c>
    </row>
    <row r="7">
      <c r="A7" s="6" t="inlineStr">
        <is>
          <t>1</t>
        </is>
      </c>
      <c r="B7" s="6" t="inlineStr">
        <is>
          <t>tau_pullout LS</t>
        </is>
      </c>
      <c r="C7" s="6" t="inlineStr">
        <is>
          <t>3.003 N.m</t>
        </is>
      </c>
      <c r="D7" s="6" t="inlineStr">
        <is>
          <t>2.703-3.303 N.m (+/-10%)</t>
        </is>
      </c>
      <c r="E7" s="6" t="inlineStr">
        <is>
          <t>1, 3</t>
        </is>
      </c>
    </row>
    <row r="8">
      <c r="A8" s="6" t="inlineStr">
        <is>
          <t>1</t>
        </is>
      </c>
      <c r="B8" s="6" t="inlineStr">
        <is>
          <t>Arm force at 2.400 N.m</t>
        </is>
      </c>
      <c r="C8" s="6" t="inlineStr">
        <is>
          <t>33.33 N</t>
        </is>
      </c>
      <c r="D8" s="6" t="inlineStr">
        <is>
          <t>30.0-36.7 N</t>
        </is>
      </c>
      <c r="E8" s="6" t="inlineStr">
        <is>
          <t>3</t>
        </is>
      </c>
    </row>
    <row r="9">
      <c r="A9" s="6" t="inlineStr">
        <is>
          <t>1</t>
        </is>
      </c>
      <c r="B9" s="6" t="inlineStr">
        <is>
          <t>Three-port balance residual</t>
        </is>
      </c>
      <c r="C9" s="6" t="inlineStr">
        <is>
          <t>0.000 N.m</t>
        </is>
      </c>
      <c r="D9" s="6" t="inlineStr">
        <is>
          <t>|residual| &lt; 0.024 N.m (1% of tau_in)</t>
        </is>
      </c>
      <c r="E9" s="6" t="inlineStr">
        <is>
          <t>1, 2, 3</t>
        </is>
      </c>
    </row>
    <row r="10">
      <c r="A10" s="6" t="inlineStr">
        <is>
          <t>1</t>
        </is>
      </c>
      <c r="B10" s="6" t="inlineStr">
        <is>
          <t>Reaction ratio n_s/p_in</t>
        </is>
      </c>
      <c r="C10" s="6" t="inlineStr">
        <is>
          <t>5.5</t>
        </is>
      </c>
      <c r="D10" s="6" t="inlineStr">
        <is>
          <t>5.45-5.55</t>
        </is>
      </c>
      <c r="E10" s="6" t="inlineStr">
        <is>
          <t>1, 3</t>
        </is>
      </c>
    </row>
    <row r="11">
      <c r="A11" s="6" t="inlineStr">
        <is>
          <t>1</t>
        </is>
      </c>
      <c r="B11" s="6" t="inlineStr">
        <is>
          <t>Torque vs gap 0.75/0.85/0.90/1.00 mm</t>
        </is>
      </c>
      <c r="C11" s="6" t="inlineStr">
        <is>
          <t>1.0182/0.9823/0.9650/0.9318</t>
        </is>
      </c>
      <c r="D11" s="6" t="inlineStr">
        <is>
          <t>each +/-2% -- the B^2 law under test</t>
        </is>
      </c>
      <c r="E11" s="6" t="inlineStr">
        <is>
          <t>1, 3, pin gauges</t>
        </is>
      </c>
    </row>
    <row r="12">
      <c r="A12" s="6" t="inlineStr">
        <is>
          <t>1</t>
        </is>
      </c>
      <c r="B12" s="6" t="inlineStr">
        <is>
          <t>Hub-motor Kv (test S-1)</t>
        </is>
      </c>
      <c r="C12" s="6" t="inlineStr">
        <is>
          <t>13.40 rpm/V</t>
        </is>
      </c>
      <c r="D12" s="6" t="inlineStr">
        <is>
          <t>+/-10%; outside this, re-derive all of MG-5</t>
        </is>
      </c>
      <c r="E12" s="6" t="inlineStr">
        <is>
          <t>5, 12</t>
        </is>
      </c>
    </row>
    <row r="13">
      <c r="A13" s="6" t="inlineStr">
        <is>
          <t>2</t>
        </is>
      </c>
      <c r="B13" s="6" t="inlineStr">
        <is>
          <t>Frame temperature at 20 min</t>
        </is>
      </c>
      <c r="C13" s="6" t="inlineStr">
        <is>
          <t>&lt; 50 C</t>
        </is>
      </c>
      <c r="D13" s="6" t="inlineStr">
        <is>
          <t>T_frame &lt; 50 C</t>
        </is>
      </c>
      <c r="E13" s="6" t="inlineStr">
        <is>
          <t>8</t>
        </is>
      </c>
    </row>
    <row r="14">
      <c r="A14" s="6" t="inlineStr">
        <is>
          <t>2</t>
        </is>
      </c>
      <c r="B14" s="6" t="inlineStr">
        <is>
          <t>No-load drag torque LS</t>
        </is>
      </c>
      <c r="C14" s="6" t="inlineStr">
        <is>
          <t>0.12 N.m</t>
        </is>
      </c>
      <c r="D14" s="6" t="inlineStr">
        <is>
          <t>0.09-0.15 N.m</t>
        </is>
      </c>
      <c r="E14" s="6" t="inlineStr">
        <is>
          <t>1</t>
        </is>
      </c>
    </row>
    <row r="15">
      <c r="A15" s="6" t="inlineStr">
        <is>
          <t>2</t>
        </is>
      </c>
      <c r="B15" s="6" t="inlineStr">
        <is>
          <t>Hysteresis loss, linear in f</t>
        </is>
      </c>
      <c r="C15" s="6" t="inlineStr">
        <is>
          <t>7.0 W at 3000 Hz</t>
        </is>
      </c>
      <c r="D15" s="6" t="inlineStr">
        <is>
          <t>slope +/-20% over the sweep</t>
        </is>
      </c>
      <c r="E15" s="6" t="inlineStr">
        <is>
          <t>1, 2, 4, 5</t>
        </is>
      </c>
    </row>
    <row r="16">
      <c r="A16" s="6" t="inlineStr">
        <is>
          <t>2</t>
        </is>
      </c>
      <c r="B16" s="6" t="inlineStr">
        <is>
          <t>Eddy loss, quadratic in f</t>
        </is>
      </c>
      <c r="C16" s="6" t="inlineStr">
        <is>
          <t>10.0 W at 3000 Hz</t>
        </is>
      </c>
      <c r="D16" s="6" t="inlineStr">
        <is>
          <t>log-log exponent 1.7-2.3</t>
        </is>
      </c>
      <c r="E16" s="6" t="inlineStr">
        <is>
          <t>1, 2, 4, 5</t>
        </is>
      </c>
    </row>
    <row r="17">
      <c r="A17" s="6" t="inlineStr">
        <is>
          <t>2</t>
        </is>
      </c>
      <c r="B17" s="6" t="inlineStr">
        <is>
          <t>Dominant vibration line</t>
        </is>
      </c>
      <c r="C17" s="6" t="inlineStr">
        <is>
          <t>74.25 Hz</t>
        </is>
      </c>
      <c r="D17" s="6" t="inlineStr">
        <is>
          <t>peak +/-1% of f_mod, none above 0.5 g</t>
        </is>
      </c>
      <c r="E17" s="6" t="inlineStr">
        <is>
          <t>18, 6, 7</t>
        </is>
      </c>
    </row>
    <row r="18">
      <c r="A18" s="6" t="inlineStr">
        <is>
          <t>3</t>
        </is>
      </c>
      <c r="B18" s="6" t="inlineStr">
        <is>
          <t>P_in</t>
        </is>
      </c>
      <c r="C18" s="6" t="inlineStr">
        <is>
          <t>22.619 W</t>
        </is>
      </c>
      <c r="D18" s="6" t="inlineStr">
        <is>
          <t>+/-1.4% (commodity sensors)</t>
        </is>
      </c>
      <c r="E18" s="6" t="inlineStr">
        <is>
          <t>1, 4</t>
        </is>
      </c>
    </row>
    <row r="19">
      <c r="A19" s="6" t="inlineStr">
        <is>
          <t>3</t>
        </is>
      </c>
      <c r="B19" s="6" t="inlineStr">
        <is>
          <t>P_out</t>
        </is>
      </c>
      <c r="C19" s="6" t="inlineStr">
        <is>
          <t>20.361 W</t>
        </is>
      </c>
      <c r="D19" s="6" t="inlineStr">
        <is>
          <t>+/-1.4%</t>
        </is>
      </c>
      <c r="E19" s="6" t="inlineStr">
        <is>
          <t>2, 5</t>
        </is>
      </c>
    </row>
    <row r="20">
      <c r="A20" s="6" t="inlineStr">
        <is>
          <t>3</t>
        </is>
      </c>
      <c r="B20" s="6" t="inlineStr">
        <is>
          <t>eta_gear</t>
        </is>
      </c>
      <c r="C20" s="6" t="inlineStr">
        <is>
          <t>90.02%</t>
        </is>
      </c>
      <c r="D20" s="6" t="inlineStr">
        <is>
          <t>90.0 +/- 1.26 points commodity; +/-0.25 lab</t>
        </is>
      </c>
      <c r="E20" s="6" t="inlineStr">
        <is>
          <t>1, 2, 4, 5</t>
        </is>
      </c>
    </row>
    <row r="21">
      <c r="A21" s="6" t="inlineStr">
        <is>
          <t>3</t>
        </is>
      </c>
      <c r="B21" s="6" t="inlineStr">
        <is>
          <t>P_loss total</t>
        </is>
      </c>
      <c r="C21" s="6" t="inlineStr">
        <is>
          <t>2.258 W</t>
        </is>
      </c>
      <c r="D21" s="6" t="inlineStr">
        <is>
          <t>+/-0.303 W commodity / +/-0.061 W lab</t>
        </is>
      </c>
      <c r="E21" s="6" t="inlineStr">
        <is>
          <t>1, 2 or coast-down</t>
        </is>
      </c>
    </row>
    <row r="22">
      <c r="A22" s="6" t="inlineStr">
        <is>
          <t>3</t>
        </is>
      </c>
      <c r="B22" s="6" t="inlineStr">
        <is>
          <t>Eddy component</t>
        </is>
      </c>
      <c r="C22" s="6" t="inlineStr">
        <is>
          <t>0.182 W</t>
        </is>
      </c>
      <c r="D22" s="6" t="inlineStr">
        <is>
          <t>NOT resolvable at design point -- use coast-down or &gt;=400 rpm LS</t>
        </is>
      </c>
      <c r="E22" s="6" t="inlineStr">
        <is>
          <t>coast-down</t>
        </is>
      </c>
    </row>
    <row r="23">
      <c r="A23" s="6" t="inlineStr">
        <is>
          <t>3</t>
        </is>
      </c>
      <c r="B23" s="6" t="inlineStr">
        <is>
          <t>Magnet pocket temperature</t>
        </is>
      </c>
      <c r="C23" s="6" t="inlineStr">
        <is>
          <t>&lt; 60 C</t>
        </is>
      </c>
      <c r="D23" s="6" t="inlineStr">
        <is>
          <t>abort above 60 C</t>
        </is>
      </c>
      <c r="E23" s="6" t="inlineStr">
        <is>
          <t>9, 10</t>
        </is>
      </c>
    </row>
    <row r="24">
      <c r="A24" s="6" t="inlineStr">
        <is>
          <t>3</t>
        </is>
      </c>
      <c r="B24" s="6" t="inlineStr">
        <is>
          <t>USB-PD output (MG-C1 chain)</t>
        </is>
      </c>
      <c r="C24" s="6" t="inlineStr">
        <is>
          <t>12.04 W</t>
        </is>
      </c>
      <c r="D24" s="6" t="inlineStr">
        <is>
          <t>+/-5%</t>
        </is>
      </c>
      <c r="E24" s="6" t="inlineStr">
        <is>
          <t>12, 13</t>
        </is>
      </c>
    </row>
    <row r="25">
      <c r="A25" s="31" t="inlineStr">
        <is>
          <t>4</t>
        </is>
      </c>
      <c r="B25" s="6" t="inlineStr">
        <is>
          <t>tau_pullout with one pair swapped</t>
        </is>
      </c>
      <c r="C25" s="6" t="inlineStr">
        <is>
          <t>2.010 N.m</t>
        </is>
      </c>
      <c r="D25" s="6" t="inlineStr">
        <is>
          <t>measured drop 28-38%</t>
        </is>
      </c>
      <c r="E25" s="6" t="inlineStr">
        <is>
          <t>1, 3</t>
        </is>
      </c>
    </row>
    <row r="26">
      <c r="A26" s="31" t="inlineStr">
        <is>
          <t>4</t>
        </is>
      </c>
      <c r="B26" s="6" t="inlineStr">
        <is>
          <t>Arm force, swapped build</t>
        </is>
      </c>
      <c r="C26" s="6" t="inlineStr">
        <is>
          <t>22.31 N</t>
        </is>
      </c>
      <c r="D26" s="6" t="inlineStr">
        <is>
          <t>drop &gt;= 8 N</t>
        </is>
      </c>
      <c r="E26" s="6" t="inlineStr">
        <is>
          <t>3</t>
        </is>
      </c>
    </row>
    <row r="27">
      <c r="A27" s="31" t="inlineStr">
        <is>
          <t>4</t>
        </is>
      </c>
      <c r="B27" s="6" t="inlineStr">
        <is>
          <t>Signal-to-uncertainty ratio</t>
        </is>
      </c>
      <c r="C27" s="6" t="inlineStr">
        <is>
          <t>57.7 sigma</t>
        </is>
      </c>
      <c r="D27" s="6" t="inlineStr">
        <is>
          <t>unmistakable; within 10% of nominal = MG-1 FALSIFIED</t>
        </is>
      </c>
      <c r="E27" s="6" t="inlineStr">
        <is>
          <t>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56" customWidth="1" min="3" max="3"/>
    <col width="40" customWidth="1" min="4" max="4"/>
  </cols>
  <sheetData>
    <row r="1">
      <c r="A1" s="1" t="inlineStr">
        <is>
          <t>Disqualified parts and traps</t>
        </is>
      </c>
    </row>
    <row r="2">
      <c r="A2" s="2" t="inlineStr">
        <is>
          <t>Every line here was a plausible search hit that fails on physics, range, or bus rating.</t>
        </is>
      </c>
    </row>
    <row r="4" ht="30" customHeight="1">
      <c r="A4" s="5" t="inlineStr">
        <is>
          <t>Domain</t>
        </is>
      </c>
      <c r="B4" s="5" t="inlineStr">
        <is>
          <t>Part</t>
        </is>
      </c>
      <c r="C4" s="5" t="inlineStr">
        <is>
          <t>Why it fails</t>
        </is>
      </c>
      <c r="D4" s="5" t="inlineStr">
        <is>
          <t>Consequence</t>
        </is>
      </c>
    </row>
    <row r="5">
      <c r="A5" s="6" t="inlineStr">
        <is>
          <t>Airgap flux</t>
        </is>
      </c>
      <c r="B5" s="6" t="inlineStr">
        <is>
          <t>Lake Shore HMMT/HMNT transverse probes</t>
        </is>
      </c>
      <c r="C5" s="6" t="inlineStr">
        <is>
          <t>1.14-1.55 mm thick -- cannot enter a 0.80 mm gap</t>
        </is>
      </c>
      <c r="D5" s="6" t="inlineStr">
        <is>
          <t>physically unusable, all of them</t>
        </is>
      </c>
    </row>
    <row r="6">
      <c r="A6" s="6" t="inlineStr">
        <is>
          <t>Airgap flux</t>
        </is>
      </c>
      <c r="B6" s="6" t="inlineStr">
        <is>
          <t>Standard TP002 bundled with the Hirst GM08</t>
        </is>
      </c>
      <c r="C6" s="6" t="inlineStr">
        <is>
          <t>1.0 mm thick</t>
        </is>
      </c>
      <c r="D6" s="6" t="inlineStr">
        <is>
          <t>must order the SP0.6 probe separately</t>
        </is>
      </c>
    </row>
    <row r="7">
      <c r="A7" s="6" t="inlineStr">
        <is>
          <t>Airgap flux</t>
        </is>
      </c>
      <c r="B7" s="6" t="inlineStr">
        <is>
          <t>AlphaLab GM2PROBESTST 'extra thin'</t>
        </is>
      </c>
      <c r="C7" s="6" t="inlineStr">
        <is>
          <t>thickness not published anywhere</t>
        </is>
      </c>
      <c r="D7" s="6" t="inlineStr">
        <is>
          <t>unqualified until AlphaLab confirms</t>
        </is>
      </c>
    </row>
    <row r="8">
      <c r="A8" s="6" t="inlineStr">
        <is>
          <t>Airgap flux</t>
        </is>
      </c>
      <c r="B8" s="6" t="inlineStr">
        <is>
          <t>AKM HG302C</t>
        </is>
      </c>
      <c r="C8" s="6" t="inlineStr">
        <is>
          <t>0.95 mm thick</t>
        </is>
      </c>
      <c r="D8" s="6" t="inlineStr">
        <is>
          <t>does not fit; HQ-0A11 at 0.23 mm does</t>
        </is>
      </c>
    </row>
    <row r="9">
      <c r="A9" s="6" t="inlineStr">
        <is>
          <t>Airgap flux</t>
        </is>
      </c>
      <c r="B9" s="6" t="inlineStr">
        <is>
          <t>MLX90393</t>
        </is>
      </c>
      <c r="C9" s="6" t="inlineStr">
        <is>
          <t>saturates at +/-50 mT = 4.5% of 1.113 T</t>
        </is>
      </c>
      <c r="D9" s="6" t="inlineStr">
        <is>
          <t>stray-field mapping only</t>
        </is>
      </c>
    </row>
    <row r="10">
      <c r="A10" s="6" t="inlineStr">
        <is>
          <t>Load cell</t>
        </is>
      </c>
      <c r="B10" s="6" t="inlineStr">
        <is>
          <t>FUTEK LSB200</t>
        </is>
      </c>
      <c r="C10" s="6" t="inlineStr">
        <is>
          <t>tops out at 250 g vs 33 N required</t>
        </is>
      </c>
      <c r="D10" s="6" t="inlineStr">
        <is>
          <t>two orders of magnitude short</t>
        </is>
      </c>
    </row>
    <row r="11">
      <c r="A11" s="6" t="inlineStr">
        <is>
          <t>Load cell</t>
        </is>
      </c>
      <c r="B11" s="6" t="inlineStr">
        <is>
          <t>SparkFun TAL220B</t>
        </is>
      </c>
      <c r="C11" s="6" t="inlineStr">
        <is>
          <t>no published accuracy class</t>
        </is>
      </c>
      <c r="D11" s="6" t="inlineStr">
        <is>
          <t>cannot state a torque uncertainty</t>
        </is>
      </c>
    </row>
    <row r="12">
      <c r="A12" s="6" t="inlineStr">
        <is>
          <t>Load cell</t>
        </is>
      </c>
      <c r="B12" s="6" t="inlineStr">
        <is>
          <t>200 N FS cell on a 33 N reading</t>
        </is>
      </c>
      <c r="C12" s="6" t="inlineStr">
        <is>
          <t>0.6% of reading</t>
        </is>
      </c>
      <c r="D12" s="6" t="inlineStr">
        <is>
          <t>4x worse than a correctly sized 50 N cell</t>
        </is>
      </c>
    </row>
    <row r="13">
      <c r="A13" s="6" t="inlineStr">
        <is>
          <t>Torque</t>
        </is>
      </c>
      <c r="B13" s="6" t="inlineStr">
        <is>
          <t>FUTEK TRS300</t>
        </is>
      </c>
      <c r="C13" s="6" t="inlineStr">
        <is>
          <t>starts at 10 N.m; 0.533 N.m is 5% of FS</t>
        </is>
      </c>
      <c r="D13" s="6" t="inlineStr">
        <is>
          <t>useless on this rig</t>
        </is>
      </c>
    </row>
    <row r="14">
      <c r="A14" s="6" t="inlineStr">
        <is>
          <t>Torque</t>
        </is>
      </c>
      <c r="B14" s="6" t="inlineStr">
        <is>
          <t>Interface T28</t>
        </is>
      </c>
      <c r="C14" s="6" t="inlineStr">
        <is>
          <t>$3,670 per channel</t>
        </is>
      </c>
      <c r="D14" s="6" t="inlineStr">
        <is>
          <t>consumes the entire budget</t>
        </is>
      </c>
    </row>
    <row r="15">
      <c r="A15" s="6" t="inlineStr">
        <is>
          <t>Torque</t>
        </is>
      </c>
      <c r="B15" s="6" t="inlineStr">
        <is>
          <t>ATO 0.1% FS spec</t>
        </is>
      </c>
      <c r="C15" s="6" t="inlineStr">
        <is>
          <t>that is non-linearity only; zero balance is +/-2% FS</t>
        </is>
      </c>
      <c r="D15" s="6" t="inlineStr">
        <is>
          <t>real uncertainty is nearer the 0.5% case</t>
        </is>
      </c>
    </row>
    <row r="16">
      <c r="A16" s="6" t="inlineStr">
        <is>
          <t>Torque bandwidth</t>
        </is>
      </c>
      <c r="B16" s="6" t="inlineStr">
        <is>
          <t>ATO 1 kHz response, 0.6 ms delay</t>
        </is>
      </c>
      <c r="C16" s="6" t="inlineStr">
        <is>
          <t>rolls off the 22nd harmonic near 1.63 kHz</t>
        </is>
      </c>
      <c r="D16" s="6" t="inlineStr">
        <is>
          <t>burster 8661 or ORT230 if 2 kHz is hard</t>
        </is>
      </c>
    </row>
    <row r="17">
      <c r="A17" s="6" t="inlineStr">
        <is>
          <t>Bridge amp</t>
        </is>
      </c>
      <c r="B17" s="6" t="inlineStr">
        <is>
          <t>NAU7802 / HX711</t>
        </is>
      </c>
      <c r="C17" s="6" t="inlineStr">
        <is>
          <t>tens of SPS</t>
        </is>
      </c>
      <c r="D17" s="6" t="inlineStr">
        <is>
          <t>mean torque only; ripple must go via the DAQ</t>
        </is>
      </c>
    </row>
    <row r="18">
      <c r="A18" s="6" t="inlineStr">
        <is>
          <t>Bridge amp</t>
        </is>
      </c>
      <c r="B18" s="6" t="inlineStr">
        <is>
          <t>HX711 protocol</t>
        </is>
      </c>
      <c r="C18" s="6" t="inlineStr">
        <is>
          <t>looks like I2C, is not; 80 SPS ceiling</t>
        </is>
      </c>
      <c r="D18" s="6" t="inlineStr">
        <is>
          <t>cannot be raised</t>
        </is>
      </c>
    </row>
    <row r="19">
      <c r="A19" s="6" t="inlineStr">
        <is>
          <t>Temperature</t>
        </is>
      </c>
      <c r="B19" s="6" t="inlineStr">
        <is>
          <t>K-type thermocouple chain</t>
        </is>
      </c>
      <c r="C19" s="6" t="inlineStr">
        <is>
          <t>junction itself +/-2 to 6 C = 0.44-1.3% torque</t>
        </is>
      </c>
      <c r="D19" s="6" t="inlineStr">
        <is>
          <t>worse than every torque channel</t>
        </is>
      </c>
    </row>
    <row r="20">
      <c r="A20" s="6" t="inlineStr">
        <is>
          <t>Angle</t>
        </is>
      </c>
      <c r="B20" s="6" t="inlineStr">
        <is>
          <t>AS5600</t>
        </is>
      </c>
      <c r="C20" s="6" t="inlineStr">
        <is>
          <t>12-bit, not the 14-bit spec</t>
        </is>
      </c>
      <c r="D20" s="6" t="inlineStr">
        <is>
          <t>use AS5047P</t>
        </is>
      </c>
    </row>
    <row r="21">
      <c r="A21" s="6" t="inlineStr">
        <is>
          <t>Angle</t>
        </is>
      </c>
      <c r="B21" s="6" t="inlineStr">
        <is>
          <t>any unshielded on-axis magnetic IC</t>
        </is>
      </c>
      <c r="C21" s="6" t="inlineStr">
        <is>
          <t>reads machine leakage, not its target magnet</t>
        </is>
      </c>
      <c r="D21" s="6" t="inlineStr">
        <is>
          <t>stray-field immunity required</t>
        </is>
      </c>
    </row>
    <row r="22">
      <c r="A22" s="6" t="inlineStr">
        <is>
          <t>Speed</t>
        </is>
      </c>
      <c r="B22" s="6" t="inlineStr">
        <is>
          <t>Omron E6B2 at $862</t>
        </is>
      </c>
      <c r="C22" s="6" t="inlineStr">
        <is>
          <t>overkill for a speed-only channel at 90-405 rpm</t>
        </is>
      </c>
      <c r="D22" s="6" t="inlineStr">
        <is>
          <t>gear-tooth pickup instead</t>
        </is>
      </c>
    </row>
    <row r="23">
      <c r="A23" s="6" t="inlineStr">
        <is>
          <t>Current</t>
        </is>
      </c>
      <c r="B23" s="6" t="inlineStr">
        <is>
          <t>INA219</t>
        </is>
      </c>
      <c r="C23" s="6" t="inlineStr">
        <is>
          <t>26 V bus ceiling below the 40 V worst case</t>
        </is>
      </c>
      <c r="D23" s="6" t="inlineStr">
        <is>
          <t>clips or fails; use INA228 (85 V)</t>
        </is>
      </c>
    </row>
    <row r="24">
      <c r="A24" s="6" t="inlineStr">
        <is>
          <t>DAQ</t>
        </is>
      </c>
      <c r="B24" s="6" t="inlineStr">
        <is>
          <t>Analog Discovery 3</t>
        </is>
      </c>
      <c r="C24" s="6" t="inlineStr">
        <is>
          <t>14-bit, 2 analog channels</t>
        </is>
      </c>
      <c r="D24" s="6" t="inlineStr">
        <is>
          <t>fails bit depth and channel count</t>
        </is>
      </c>
    </row>
    <row r="25">
      <c r="A25" s="6" t="inlineStr">
        <is>
          <t>DAQ</t>
        </is>
      </c>
      <c r="B25" s="6" t="inlineStr">
        <is>
          <t>Waveshare ADS1256 board</t>
        </is>
      </c>
      <c r="C25" s="6" t="inlineStr">
        <is>
          <t>30 kS/s aggregate = 3.75 kS/s/ch over 8</t>
        </is>
      </c>
      <c r="D25" s="6" t="inlineStr">
        <is>
          <t>below the 10 kS/s/ch spec</t>
        </is>
      </c>
    </row>
    <row r="26">
      <c r="A26" s="6" t="inlineStr">
        <is>
          <t>3-phase power</t>
        </is>
      </c>
      <c r="B26" s="6" t="inlineStr">
        <is>
          <t>Yokogawa WT332E</t>
        </is>
      </c>
      <c r="C26" s="6" t="inlineStr">
        <is>
          <t>$5,240 = 1.75x the whole budget</t>
        </is>
      </c>
      <c r="D26" s="6" t="inlineStr">
        <is>
          <t>compute 3-phase power on the DAQ</t>
        </is>
      </c>
    </row>
    <row r="27">
      <c r="A27" s="6" t="inlineStr">
        <is>
          <t>Drive</t>
        </is>
      </c>
      <c r="B27" s="6" t="inlineStr">
        <is>
          <t>ODrive Micro</t>
        </is>
      </c>
      <c r="C27" s="6" t="inlineStr">
        <is>
          <t>31 V bus ceiling below the required 36 V</t>
        </is>
      </c>
      <c r="D27" s="6" t="inlineStr">
        <is>
          <t>disqualified</t>
        </is>
      </c>
    </row>
    <row r="28">
      <c r="A28" s="6" t="inlineStr">
        <is>
          <t>Drive</t>
        </is>
      </c>
      <c r="B28" s="6" t="inlineStr">
        <is>
          <t>ODrive Pro</t>
        </is>
      </c>
      <c r="C28" s="6" t="inlineStr">
        <is>
          <t>no brake-resistor driver</t>
        </is>
      </c>
      <c r="D28" s="6" t="inlineStr">
        <is>
          <t>regen must go into the battery</t>
        </is>
      </c>
    </row>
    <row r="29">
      <c r="A29" s="6" t="inlineStr">
        <is>
          <t>Drive</t>
        </is>
      </c>
      <c r="B29" s="6" t="inlineStr">
        <is>
          <t>VESC-class 70 A boards</t>
        </is>
      </c>
      <c r="C29" s="6" t="inlineStr">
        <is>
          <t>~0.5 mOhm shunts; 0.7 A sits in the noise</t>
        </is>
      </c>
      <c r="D29" s="6" t="inlineStr">
        <is>
          <t>treat any low limit as advisory</t>
        </is>
      </c>
    </row>
    <row r="30">
      <c r="A30" s="6" t="inlineStr">
        <is>
          <t>Drive</t>
        </is>
      </c>
      <c r="B30" s="6" t="inlineStr">
        <is>
          <t>L6234PD</t>
        </is>
      </c>
      <c r="C30" s="6" t="inlineStr">
        <is>
          <t>bare power stage, no commutation or current regulation</t>
        </is>
      </c>
      <c r="D30" s="6" t="inlineStr">
        <is>
          <t>not a controller</t>
        </is>
      </c>
    </row>
    <row r="31">
      <c r="A31" s="6" t="inlineStr">
        <is>
          <t>Bus</t>
        </is>
      </c>
      <c r="B31" s="6" t="inlineStr">
        <is>
          <t>Littelfuse ATOF blade fuse</t>
        </is>
      </c>
      <c r="C31" s="6" t="inlineStr">
        <is>
          <t>rated 32 VDC</t>
        </is>
      </c>
      <c r="D31" s="6" t="inlineStr">
        <is>
          <t>cannot interrupt a 36-40 V supercap bank</t>
        </is>
      </c>
    </row>
    <row r="32">
      <c r="A32" s="6" t="inlineStr">
        <is>
          <t>Bus</t>
        </is>
      </c>
      <c r="B32" s="6" t="inlineStr">
        <is>
          <t>Battery PCM as gear protection</t>
        </is>
      </c>
      <c r="C32" s="6" t="inlineStr">
        <is>
          <t>trips at tens of amps; gear slips at 0.94 A</t>
        </is>
      </c>
      <c r="D32" s="6" t="inlineStr">
        <is>
          <t>the limit must live in the drive</t>
        </is>
      </c>
    </row>
    <row r="33">
      <c r="A33" s="6" t="inlineStr">
        <is>
          <t>Boost</t>
        </is>
      </c>
      <c r="B33" s="6" t="inlineStr">
        <is>
          <t>common 'adjustable boost' modules</t>
        </is>
      </c>
      <c r="C33" s="6" t="inlineStr">
        <is>
          <t>top out at 32 V, below 30.2 V bemf + headroom</t>
        </is>
      </c>
      <c r="D33" s="6" t="inlineStr">
        <is>
          <t>need 36 V capability</t>
        </is>
      </c>
    </row>
    <row r="34">
      <c r="A34" s="6" t="inlineStr">
        <is>
          <t>Supercaps</t>
        </is>
      </c>
      <c r="B34" s="6" t="inlineStr">
        <is>
          <t>Amazon 2.7 V / 500 F cells</t>
        </is>
      </c>
      <c r="C34" s="6" t="inlineStr">
        <is>
          <t>buyers measured 200-250 F, 15 mOhm</t>
        </is>
      </c>
      <c r="D34" s="6" t="inlineStr">
        <is>
          <t>derate 50%, never the sole source</t>
        </is>
      </c>
    </row>
    <row r="35">
      <c r="A35" s="6" t="inlineStr">
        <is>
          <t>Safety</t>
        </is>
      </c>
      <c r="B35" s="6" t="inlineStr">
        <is>
          <t>plain hobby lever switch</t>
        </is>
      </c>
      <c r="C35" s="6" t="inlineStr">
        <is>
          <t>no positive-break / forced-disconnect</t>
        </is>
      </c>
      <c r="D35" s="6" t="inlineStr">
        <is>
          <t>not a safety interlock</t>
        </is>
      </c>
    </row>
    <row r="36">
      <c r="A36" s="6" t="inlineStr">
        <is>
          <t>Safety</t>
        </is>
      </c>
      <c r="B36" s="6" t="inlineStr">
        <is>
          <t>Omron D4NS switching the motor bus</t>
        </is>
      </c>
      <c r="C36" s="6" t="inlineStr">
        <is>
          <t>240 VAC/3 A but only 270 mA at DC</t>
        </is>
      </c>
      <c r="D36" s="6" t="inlineStr">
        <is>
          <t>pilot duty into a contactor coil only</t>
        </is>
      </c>
    </row>
    <row r="37">
      <c r="A37" s="6" t="inlineStr">
        <is>
          <t>Gap metrology</t>
        </is>
      </c>
      <c r="B37" s="6" t="inlineStr">
        <is>
          <t>Class ZZ pin gauges</t>
        </is>
      </c>
      <c r="C37" s="6" t="inlineStr">
        <is>
          <t>+/-0.005 mm doubles the uncertainty</t>
        </is>
      </c>
      <c r="D37" s="6" t="inlineStr">
        <is>
          <t>Class Z only</t>
        </is>
      </c>
    </row>
    <row r="38">
      <c r="A38" s="6" t="inlineStr">
        <is>
          <t>Gap metrology</t>
        </is>
      </c>
      <c r="B38" s="6" t="inlineStr">
        <is>
          <t>feeler gauges as the gap datum</t>
        </is>
      </c>
      <c r="C38" s="6" t="inlineStr">
        <is>
          <t>0.05 mm steps = 1.80% torque</t>
        </is>
      </c>
      <c r="D38" s="6" t="inlineStr">
        <is>
          <t>pin gauges are 0.09%</t>
        </is>
      </c>
    </row>
    <row r="39">
      <c r="A39" s="6" t="inlineStr">
        <is>
          <t>Starter opt B</t>
        </is>
      </c>
      <c r="B39" s="6" t="inlineStr">
        <is>
          <t>worm-gear starter</t>
        </is>
      </c>
      <c r="C39" s="6" t="inlineStr">
        <is>
          <t>will not backdrive</t>
        </is>
      </c>
      <c r="D39" s="6" t="inlineStr">
        <is>
          <t>one-way clutch becomes mandatory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2026-08-16T02:30:58Z</dcterms:created>
  <dcterms:modified xmlns:dcterms="http://purl.org/dc/terms/" xmlns:xsi="http://www.w3.org/2001/XMLSchema-instance" xsi:type="dcterms:W3CDTF">2026-08-16T02:30:58Z</dcterms:modified>
</cp:coreProperties>
</file>