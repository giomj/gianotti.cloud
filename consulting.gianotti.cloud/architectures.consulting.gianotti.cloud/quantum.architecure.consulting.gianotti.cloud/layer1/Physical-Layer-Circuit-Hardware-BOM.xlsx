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ircuit BOM" sheetId="1" state="visible" r:id="rId3"/>
    <sheet name="Hardware BOM" sheetId="2" state="visible" r:id="rId4"/>
    <sheet name="Notes &amp; Assump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<sst xmlns="http://schemas.openxmlformats.org/spreadsheetml/2006/main" count="243" uniqueCount="179">
  <si>
    <t xml:space="preserve">Hop</t>
  </si>
  <si>
    <t xml:space="preserve">Link Type</t>
  </si>
  <si>
    <t xml:space="preserve">Circuit Type</t>
  </si>
  <si>
    <t xml:space="preserve">Real-World Product / Carrier Examples</t>
  </si>
  <si>
    <t xml:space="preserve">Medium</t>
  </si>
  <si>
    <t xml:space="preserve">Connector</t>
  </si>
  <si>
    <t xml:space="preserve">Transceiver / Optics</t>
  </si>
  <si>
    <t xml:space="preserve">Primary Bandwidth</t>
  </si>
  <si>
    <t xml:space="preserve">Backup Bandwidth</t>
  </si>
  <si>
    <t xml:space="preserve">Est. Lead Time</t>
  </si>
  <si>
    <t xml:space="preserve">Notes</t>
  </si>
  <si>
    <t xml:space="preserve">Edge Pod → Comm Closet Pod</t>
  </si>
  <si>
    <t xml:space="preserve">Primary</t>
  </si>
  <si>
    <t xml:space="preserve">Business broadband / FTTP DIA + cellular failover</t>
  </si>
  <si>
    <t xml:space="preserve">e.g. AT&amp;T Business Fiber, Comcast Business, Deutsche Telekom, or local FTTH ISP; failover via Cradlepoint / Peplink 5G router</t>
  </si>
  <si>
    <t xml:space="preserve">Copper (Cat6A) NUC-to-router; fiber ISP handoff</t>
  </si>
  <si>
    <t xml:space="preserve">RJ45 (copper); LC duplex (ISP ONT)</t>
  </si>
  <si>
    <t xml:space="preserve">Integrated NIC (copper); SFP (ONT, if fiber-fed)</t>
  </si>
  <si>
    <t xml:space="preserve">500 Mbps–1 Gbps symmetric</t>
  </si>
  <si>
    <t xml:space="preserve">50–100 Mbps (5G/LTE)</t>
  </si>
  <si>
    <t xml:space="preserve">1–3 weeks (standard business install)</t>
  </si>
  <si>
    <t xml:space="preserve">WireGuard rides over whichever path is up; NUC has no true dual-homed NIC redundancy at L1, so failover is at the router/WAN edge</t>
  </si>
  <si>
    <t xml:space="preserve">Comm Closet Pod → Equinix COLO A</t>
  </si>
  <si>
    <t xml:space="preserve">Dedicated Internet Access (DIA), fiber</t>
  </si>
  <si>
    <t xml:space="preserve">e.g. Lumen, Zayo, Cogent, GTT, or regional fiber carrier</t>
  </si>
  <si>
    <t xml:space="preserve">Single-mode fiber (OS2)</t>
  </si>
  <si>
    <t xml:space="preserve">LC duplex</t>
  </si>
  <si>
    <t xml:space="preserve">SFP+ (10GBASE-LR)</t>
  </si>
  <si>
    <t xml:space="preserve">1–10 Gbps</t>
  </si>
  <si>
    <t xml:space="preserve">1 Gbps (diverse-carrier backup DIA)</t>
  </si>
  <si>
    <t xml:space="preserve">4–8 weeks (new fiber DIA build)</t>
  </si>
  <si>
    <t xml:space="preserve">Public-internet-routed, WireGuard-encrypted; no private line required for Alpha phase</t>
  </si>
  <si>
    <t xml:space="preserve">Equinix COLO A → OVH Cloud</t>
  </si>
  <si>
    <t xml:space="preserve">DIA (default) or private interconnect via IX/Megaport where OVH peers</t>
  </si>
  <si>
    <t xml:space="preserve">DIA: same carriers as above. Private option: Megaport Virtual Edge or an IX present in-building (e.g., DE-CIX, AMS-IX) to OVHcloud's network edge</t>
  </si>
  <si>
    <t xml:space="preserve">Single-mode fiber (OS2) for private option; internet for DIA option</t>
  </si>
  <si>
    <t xml:space="preserve">SFP+ (10GBASE-LR) or QSFP28 (100G) for private option</t>
  </si>
  <si>
    <t xml:space="preserve">1 Gbps backup DIA</t>
  </si>
  <si>
    <t xml:space="preserve">2–4 weeks (private) / 1–3 weeks (DIA)</t>
  </si>
  <si>
    <t xml:space="preserve">Private interconnect avoids public internet entirely for this hop if OVH has a reachable port in the same facility</t>
  </si>
  <si>
    <t xml:space="preserve">OVH Cloud → Equinix COLO B</t>
  </si>
  <si>
    <t xml:space="preserve">DIA, fiber (OVH uplink or independent carrier)</t>
  </si>
  <si>
    <t xml:space="preserve">OVHcloud's own uplink product, or independent carrier as above</t>
  </si>
  <si>
    <t xml:space="preserve">Single-mode fiber / internet</t>
  </si>
  <si>
    <t xml:space="preserve">2–4 weeks</t>
  </si>
  <si>
    <t xml:space="preserve">WireGuard-encrypted regardless of underlying carrier</t>
  </si>
  <si>
    <t xml:space="preserve">Equinix COLO A ↔ Equinix COLO B</t>
  </si>
  <si>
    <t xml:space="preserve">Mesh backbone (redundant to the OVH path)</t>
  </si>
  <si>
    <t xml:space="preserve">Equinix Fabric virtual connection (inter-metro)</t>
  </si>
  <si>
    <t xml:space="preserve">Equinix Fabric (ordered directly, no third-party carrier needed)</t>
  </si>
  <si>
    <t xml:space="preserve">Single-mode fiber to Fabric infrastructure</t>
  </si>
  <si>
    <t xml:space="preserve">LC duplex / MPO (100G)</t>
  </si>
  <si>
    <t xml:space="preserve">SFP+ or QSFP28 depending on port speed</t>
  </si>
  <si>
    <t xml:space="preserve">10–100 Gbps</t>
  </si>
  <si>
    <t xml:space="preserve">n/a — this link is itself the redundancy for the OVH path</t>
  </si>
  <si>
    <t xml:space="preserve">1–2 weeks (Fabric port + virtual connection)</t>
  </si>
  <si>
    <t xml:space="preserve">Private line riding Equinix's own backbone; still WireGuard-encrypted end to end for consistency with the zero-trust model</t>
  </si>
  <si>
    <t xml:space="preserve">Edge Pod ↔ Equinix COLO A</t>
  </si>
  <si>
    <t xml:space="preserve">Mesh redundancy (bypasses Comm Closet)</t>
  </si>
  <si>
    <t xml:space="preserve">DIA over public internet</t>
  </si>
  <si>
    <t xml:space="preserve">Same ISP/carrier as the Edge→Comm Closet primary, or a second provider</t>
  </si>
  <si>
    <t xml:space="preserve">Fiber/broadband, internet-routed</t>
  </si>
  <si>
    <t xml:space="preserve">RJ45 / LC (ISP-dependent)</t>
  </si>
  <si>
    <t xml:space="preserve">Integrated NIC / SFP</t>
  </si>
  <si>
    <t xml:space="preserve">500 Mbps–1 Gbps</t>
  </si>
  <si>
    <t xml:space="preserve">n/a (this is itself the backup path)</t>
  </si>
  <si>
    <t xml:space="preserve">1–3 weeks</t>
  </si>
  <si>
    <t xml:space="preserve">Only needed if the Comm Closet pod is offline; low priority for initial buildout</t>
  </si>
  <si>
    <t xml:space="preserve">Equinix COLO B → AWS Pod</t>
  </si>
  <si>
    <t xml:space="preserve">Primary fork (1 of 5, parallel)</t>
  </si>
  <si>
    <t xml:space="preserve">AWS Direct Connect (hosted connection via Equinix Fabric)</t>
  </si>
  <si>
    <t xml:space="preserve">AWS Direct Connect + “Fabric to AWS” quick connect</t>
  </si>
  <si>
    <t xml:space="preserve">Single-mode fiber cross-connect within the IBX</t>
  </si>
  <si>
    <t xml:space="preserve">SFP+ (10G) or QSFP28 (100G)</t>
  </si>
  <si>
    <t xml:space="preserve">1–10 Gbps (VLAN-tagged virtual interface)</t>
  </si>
  <si>
    <t xml:space="preserve">n/a — backed by COLO A↔hyperscaler mesh link below</t>
  </si>
  <si>
    <t xml:space="preserve">1–2 weeks (Fabric) vs. 4+ weeks (AWS dedicated connection)</t>
  </si>
  <si>
    <t xml:space="preserve">Physically one Equinix Fabric port at COLO B serves all 5 hyperscaler virtual circuits below — see Note 1</t>
  </si>
  <si>
    <t xml:space="preserve">Equinix COLO B → Azure Pod</t>
  </si>
  <si>
    <t xml:space="preserve">Azure ExpressRoute (via Equinix Fabric)</t>
  </si>
  <si>
    <t xml:space="preserve">Azure ExpressRoute + Equinix Fabric</t>
  </si>
  <si>
    <t xml:space="preserve">1–10 Gbps (VLAN-tagged)</t>
  </si>
  <si>
    <t xml:space="preserve">n/a — see mesh link below</t>
  </si>
  <si>
    <t xml:space="preserve">1–2 weeks (Fabric)</t>
  </si>
  <si>
    <t xml:space="preserve">Shares the same physical Fabric port as the other 4 hyperscaler circuits — see Note 1</t>
  </si>
  <si>
    <t xml:space="preserve">Equinix COLO B → GCP Pod</t>
  </si>
  <si>
    <t xml:space="preserve">Google Cloud Partner Interconnect (via Equinix Fabric)</t>
  </si>
  <si>
    <t xml:space="preserve">Google Cloud Interconnect (Partner) + Equinix Fabric</t>
  </si>
  <si>
    <t xml:space="preserve">Equinix COLO B → IBM Cloud Pod</t>
  </si>
  <si>
    <t xml:space="preserve">IBM Cloud Direct Link Connect (via Equinix Fabric)</t>
  </si>
  <si>
    <t xml:space="preserve">IBM Cloud Direct Link + Equinix Fabric</t>
  </si>
  <si>
    <t xml:space="preserve">Equinix COLO B → DigitalOcean Pod</t>
  </si>
  <si>
    <t xml:space="preserve">No native private on-ramp product exists for DigitalOcean; standard DIA carrier as above</t>
  </si>
  <si>
    <t xml:space="preserve">The one fork leg that cannot use a private Fabric virtual circuit — stays internet-routed, WireGuard-encrypted</t>
  </si>
  <si>
    <t xml:space="preserve">Hyperscaler Pods ↔ Equinix COLO A</t>
  </si>
  <si>
    <t xml:space="preserve">Mesh redundancy (×5, one per cloud pod)</t>
  </si>
  <si>
    <t xml:space="preserve">Second Equinix Fabric virtual connection, sourced from COLO A instead of COLO B</t>
  </si>
  <si>
    <t xml:space="preserve">Same Fabric/on-ramp products as the COLO B forks above</t>
  </si>
  <si>
    <t xml:space="preserve">Single-mode fiber cross-connect within COLO A</t>
  </si>
  <si>
    <t xml:space="preserve">SFP+ or QSFP28</t>
  </si>
  <si>
    <t xml:space="preserve">n/a (this is itself the backup)</t>
  </si>
  <si>
    <t xml:space="preserve">1–2 weeks</t>
  </si>
  <si>
    <t xml:space="preserve">Survives a COLO B outage; not needed on day one — recommended for phase 2 of the Alpha build</t>
  </si>
  <si>
    <t xml:space="preserve">Note 1: one physical Equinix Fabric port at COLO B, four (or five, incl. the mesh-redundant path) software-defined virtual circuits — this is the normal Equinix Fabric consumption model, not a design shortcut.</t>
  </si>
  <si>
    <t xml:space="preserve">Site Type</t>
  </si>
  <si>
    <t xml:space="preserve">Item</t>
  </si>
  <si>
    <t xml:space="preserve">Qty</t>
  </si>
  <si>
    <t xml:space="preserve">Form Factor</t>
  </si>
  <si>
    <t xml:space="preserve">Purpose / Notes</t>
  </si>
  <si>
    <t xml:space="preserve">EDGE POD</t>
  </si>
  <si>
    <t xml:space="preserve">Edge Pod</t>
  </si>
  <si>
    <t xml:space="preserve">Intel NUC (cluster node)</t>
  </si>
  <si>
    <t xml:space="preserve">Mini-PC, shelf-mount</t>
  </si>
  <si>
    <t xml:space="preserve">Edge compute cluster; odd node count for quorum</t>
  </si>
  <si>
    <t xml:space="preserve">Managed switch, 2.5GbE, 8-port</t>
  </si>
  <si>
    <t xml:space="preserve">Desktop/DIN-rail</t>
  </si>
  <si>
    <t xml:space="preserve">Local NUC interconnect</t>
  </si>
  <si>
    <t xml:space="preserve">Cellular failover router (5G/LTE)</t>
  </si>
  <si>
    <t xml:space="preserve">WAN backup path; auto-failover</t>
  </si>
  <si>
    <t xml:space="preserve">Small UPS (600VA)</t>
  </si>
  <si>
    <t xml:space="preserve">Desktop</t>
  </si>
  <si>
    <t xml:space="preserve">Ride-through for brief utility interruptions</t>
  </si>
  <si>
    <t xml:space="preserve">Tamper-evident enclosure</t>
  </si>
  <si>
    <t xml:space="preserve">Wall-mount or lockable shelf</t>
  </si>
  <si>
    <t xml:space="preserve">Physical security — feeds device-posture PEP on tamper event</t>
  </si>
  <si>
    <t xml:space="preserve">COMM CLOSET POD</t>
  </si>
  <si>
    <t xml:space="preserve">Comm Closet Pod</t>
  </si>
  <si>
    <t xml:space="preserve">Nutanix NX node</t>
  </si>
  <si>
    <t xml:space="preserve">1U–2U each</t>
  </si>
  <si>
    <t xml:space="preserve">On-prem hyperconverged cluster (AHV+CVM)</t>
  </si>
  <si>
    <t xml:space="preserve">ToR switch, 10GbE, 24-port</t>
  </si>
  <si>
    <t xml:space="preserve">1U</t>
  </si>
  <si>
    <t xml:space="preserve">Cluster + WAN uplink aggregation</t>
  </si>
  <si>
    <t xml:space="preserve">Patch panel, Cat6A, 24-port</t>
  </si>
  <si>
    <t xml:space="preserve">Structured copper cabling</t>
  </si>
  <si>
    <t xml:space="preserve">WireGuard gateway / firewall appliance</t>
  </si>
  <si>
    <t xml:space="preserve">1U each</t>
  </si>
  <si>
    <t xml:space="preserve">HA pair — mesh tunnel termination + PEP</t>
  </si>
  <si>
    <t xml:space="preserve">UPS (1500VA)</t>
  </si>
  <si>
    <t xml:space="preserve">Rack-mount, 2U–3U</t>
  </si>
  <si>
    <t xml:space="preserve">Local power ride-through</t>
  </si>
  <si>
    <t xml:space="preserve">DIA circuit demarc / ONT</t>
  </si>
  <si>
    <t xml:space="preserve">Wall-mount</t>
  </si>
  <si>
    <t xml:space="preserve">1 primary + 1 diverse-carrier backup</t>
  </si>
  <si>
    <t xml:space="preserve">Open-frame rack, 12U–24U</t>
  </si>
  <si>
    <t xml:space="preserve">Wall-mount or floor-standing</t>
  </si>
  <si>
    <t xml:space="preserve">Houses all of the above</t>
  </si>
  <si>
    <t xml:space="preserve">EQUINIX COLO (PER CABINET — A AND B IDENTICAL SPEC)</t>
  </si>
  <si>
    <t xml:space="preserve">Equinix COLO A / B</t>
  </si>
  <si>
    <t xml:space="preserve">2U–4U each</t>
  </si>
  <si>
    <t xml:space="preserve">Colo hyperconverged cluster</t>
  </si>
  <si>
    <t xml:space="preserve">ToR switch, 25/100GbE (redundant pair)</t>
  </si>
  <si>
    <t xml:space="preserve">Dual-homed cluster uplinks, no single point of failure</t>
  </si>
  <si>
    <t xml:space="preserve">Fiber patch panel, LC, 24-port</t>
  </si>
  <si>
    <t xml:space="preserve">Cross-connect termination</t>
  </si>
  <si>
    <t xml:space="preserve">Equinix Fabric port, dedicated</t>
  </si>
  <si>
    <t xml:space="preserve">N/A (facility-provided)</t>
  </si>
  <si>
    <t xml:space="preserve">1 primary + 1 for the redundant virtual connections in the Circuit BOM</t>
  </si>
  <si>
    <t xml:space="preserve">Vertical PDU, metered (A feed)</t>
  </si>
  <si>
    <t xml:space="preserve">0U, rail-mount</t>
  </si>
  <si>
    <t xml:space="preserve">Redundant power feed A</t>
  </si>
  <si>
    <t xml:space="preserve">Vertical PDU, metered (B feed)</t>
  </si>
  <si>
    <t xml:space="preserve">Redundant power feed B</t>
  </si>
  <si>
    <t xml:space="preserve">Vertical cable manager</t>
  </si>
  <si>
    <t xml:space="preserve">Fiber/copper cable management</t>
  </si>
  <si>
    <t xml:space="preserve">Cabinet / cage, 42U</t>
  </si>
  <si>
    <t xml:space="preserve">Facility-provided</t>
  </si>
  <si>
    <t xml:space="preserve">Houses all of the above; badge + biometric access per Equinix facility standard</t>
  </si>
  <si>
    <t xml:space="preserve">Notes &amp; Assumptions — Alpha-Phase Hybrid Cloud Mesh, Physical Layer BOM</t>
  </si>
  <si>
    <t xml:space="preserve">1. Site names (Edge Pod, Comm Closet Pod, Equinix COLO A/B, OVH Cloud, and the five hyperscaler pods) are illustrative labels, matching the logical network diagrams delivered earlier — no real facility codes, addresses, or metros are implied.</t>
  </si>
  <si>
    <t xml:space="preserve">2. Carrier and product names (Lumen, Zayo, Cogent, GTT, AT&amp;T, Comcast, Deutsche Telekom, Megaport, DE-CIX/AMS-IX, AWS Direct Connect, Azure ExpressRoute, Google Cloud Partner Interconnect, IBM Cloud Direct Link, Equinix Fabric) are real, current products/companies cited as representative options for procurement — not a commitment to any specific vendor. Get competing quotes before ordering.</t>
  </si>
  <si>
    <t xml:space="preserve">3. Bandwidth figures are Alpha-phase starting points sized for a proof-of-concept/production-pilot workload, not a capacity-planned figure. Validate against actual application throughput and quantum-datacenter data volumes (see the companion Quantum Datacenter architecture) before final circuit sizing.</t>
  </si>
  <si>
    <t xml:space="preserve">4. Lead times are typical industry ranges as of this writing and vary by carrier, metro, and whether new fiber construction is required; treat them as planning-level, not contractual.</t>
  </si>
  <si>
    <t xml:space="preserve">5. DigitalOcean is the one fork leg with no private/dedicated interconnect product as of this writing — it remains internet-routed and WireGuard-encrypted even in a fully built-out production topology.</t>
  </si>
  <si>
    <t xml:space="preserve">6. The Equinix COLO A ↔ COLO B mesh backbone (Equinix Fabric inter-metro virtual connection) is the recommended redundant path for the OVH leg; it is a private line riding Equinix's backbone, not the public internet, and is still WireGuard-encrypted end to end for consistency with the zero-trust model documented in the companion Word document.</t>
  </si>
  <si>
    <t xml:space="preserve">7. This workbook covers the physical/circuit and hardware layer only. For AS numbers, IPv6 addressing, WireGuard key management, and the zero-trust policy model, see hybrid-cloud-mesh-network-diagram.html and Alpha-Phase-Hybrid-Cloud-Mesh-Architecture.docx from the same design set.</t>
  </si>
  <si>
    <t xml:space="preserve">Summary (live formulas — recalculate if rows are added/removed):</t>
  </si>
  <si>
    <t xml:space="preserve">Total circuit hops listed:</t>
  </si>
  <si>
    <t xml:space="preserve">Total hardware line items: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</si>
</sst>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2514E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B6834"/>
        <bgColor rgb="FFFF8080"/>
      </patternFill>
    </fill>
    <fill>
      <patternFill patternType="solid">
        <fgColor rgb="FFF4F3F1"/>
        <bgColor rgb="FFFFFFFF"/>
      </patternFill>
    </fill>
    <fill>
      <patternFill patternType="solid">
        <fgColor rgb="FF2A2A28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8D3"/>
      </left>
      <right style="thin">
        <color rgb="FFD9D8D3"/>
      </right>
      <top style="thin">
        <color rgb="FFD9D8D3"/>
      </top>
      <bottom style="thin">
        <color rgb="FFD9D8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3F1"/>
      <rgbColor rgb="FFCCFFFF"/>
      <rgbColor rgb="FF660066"/>
      <rgbColor rgb="FFFF8080"/>
      <rgbColor rgb="FF0066CC"/>
      <rgbColor rgb="FFD9D8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B6834"/>
      <rgbColor rgb="FF52514E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A2A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18"/>
    <col collapsed="false" customWidth="true" hidden="false" outlineLevel="0" max="9" min="9" style="0" width="20"/>
    <col collapsed="false" customWidth="true" hidden="false" outlineLevel="0" max="10" min="10" style="0" width="22"/>
    <col collapsed="false" customWidth="true" hidden="false" outlineLevel="0" max="11" min="11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57.75" hidden="false" customHeight="tru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customFormat="false" ht="57.75" hidden="false" customHeight="true" outlineLevel="0" collapsed="false">
      <c r="A3" s="3" t="s">
        <v>22</v>
      </c>
      <c r="B3" s="3" t="s">
        <v>12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29</v>
      </c>
      <c r="J3" s="3" t="s">
        <v>30</v>
      </c>
      <c r="K3" s="3" t="s">
        <v>31</v>
      </c>
    </row>
    <row r="4" customFormat="false" ht="57.75" hidden="false" customHeight="true" outlineLevel="0" collapsed="false">
      <c r="A4" s="2" t="s">
        <v>32</v>
      </c>
      <c r="B4" s="2" t="s">
        <v>12</v>
      </c>
      <c r="C4" s="2" t="s">
        <v>33</v>
      </c>
      <c r="D4" s="2" t="s">
        <v>34</v>
      </c>
      <c r="E4" s="2" t="s">
        <v>35</v>
      </c>
      <c r="F4" s="2" t="s">
        <v>26</v>
      </c>
      <c r="G4" s="2" t="s">
        <v>36</v>
      </c>
      <c r="H4" s="2" t="s">
        <v>28</v>
      </c>
      <c r="I4" s="2" t="s">
        <v>37</v>
      </c>
      <c r="J4" s="2" t="s">
        <v>38</v>
      </c>
      <c r="K4" s="2" t="s">
        <v>39</v>
      </c>
    </row>
    <row r="5" customFormat="false" ht="57.75" hidden="false" customHeight="true" outlineLevel="0" collapsed="false">
      <c r="A5" s="3" t="s">
        <v>40</v>
      </c>
      <c r="B5" s="3" t="s">
        <v>12</v>
      </c>
      <c r="C5" s="3" t="s">
        <v>41</v>
      </c>
      <c r="D5" s="3" t="s">
        <v>42</v>
      </c>
      <c r="E5" s="3" t="s">
        <v>43</v>
      </c>
      <c r="F5" s="3" t="s">
        <v>26</v>
      </c>
      <c r="G5" s="3" t="s">
        <v>27</v>
      </c>
      <c r="H5" s="3" t="s">
        <v>28</v>
      </c>
      <c r="I5" s="3" t="s">
        <v>37</v>
      </c>
      <c r="J5" s="3" t="s">
        <v>44</v>
      </c>
      <c r="K5" s="3" t="s">
        <v>45</v>
      </c>
    </row>
    <row r="6" customFormat="false" ht="57.75" hidden="false" customHeight="true" outlineLevel="0" collapsed="false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54</v>
      </c>
      <c r="J6" s="2" t="s">
        <v>55</v>
      </c>
      <c r="K6" s="2" t="s">
        <v>56</v>
      </c>
    </row>
    <row r="7" customFormat="false" ht="57.75" hidden="false" customHeight="true" outlineLevel="0" collapsed="false">
      <c r="A7" s="3" t="s">
        <v>57</v>
      </c>
      <c r="B7" s="3" t="s">
        <v>58</v>
      </c>
      <c r="C7" s="3" t="s">
        <v>59</v>
      </c>
      <c r="D7" s="3" t="s">
        <v>60</v>
      </c>
      <c r="E7" s="3" t="s">
        <v>61</v>
      </c>
      <c r="F7" s="3" t="s">
        <v>62</v>
      </c>
      <c r="G7" s="3" t="s">
        <v>63</v>
      </c>
      <c r="H7" s="3" t="s">
        <v>64</v>
      </c>
      <c r="I7" s="3" t="s">
        <v>65</v>
      </c>
      <c r="J7" s="3" t="s">
        <v>66</v>
      </c>
      <c r="K7" s="3" t="s">
        <v>67</v>
      </c>
    </row>
    <row r="8" customFormat="false" ht="57.75" hidden="false" customHeight="true" outlineLevel="0" collapsed="false">
      <c r="A8" s="2" t="s">
        <v>68</v>
      </c>
      <c r="B8" s="2" t="s">
        <v>69</v>
      </c>
      <c r="C8" s="2" t="s">
        <v>70</v>
      </c>
      <c r="D8" s="2" t="s">
        <v>71</v>
      </c>
      <c r="E8" s="2" t="s">
        <v>72</v>
      </c>
      <c r="F8" s="2" t="s">
        <v>26</v>
      </c>
      <c r="G8" s="2" t="s">
        <v>73</v>
      </c>
      <c r="H8" s="2" t="s">
        <v>74</v>
      </c>
      <c r="I8" s="2" t="s">
        <v>75</v>
      </c>
      <c r="J8" s="2" t="s">
        <v>76</v>
      </c>
      <c r="K8" s="2" t="s">
        <v>77</v>
      </c>
    </row>
    <row r="9" customFormat="false" ht="57.75" hidden="false" customHeight="true" outlineLevel="0" collapsed="false">
      <c r="A9" s="3" t="s">
        <v>78</v>
      </c>
      <c r="B9" s="3" t="s">
        <v>69</v>
      </c>
      <c r="C9" s="3" t="s">
        <v>79</v>
      </c>
      <c r="D9" s="3" t="s">
        <v>80</v>
      </c>
      <c r="E9" s="3" t="s">
        <v>72</v>
      </c>
      <c r="F9" s="3" t="s">
        <v>26</v>
      </c>
      <c r="G9" s="3" t="s">
        <v>73</v>
      </c>
      <c r="H9" s="3" t="s">
        <v>81</v>
      </c>
      <c r="I9" s="3" t="s">
        <v>82</v>
      </c>
      <c r="J9" s="3" t="s">
        <v>83</v>
      </c>
      <c r="K9" s="3" t="s">
        <v>84</v>
      </c>
    </row>
    <row r="10" customFormat="false" ht="57.75" hidden="false" customHeight="true" outlineLevel="0" collapsed="false">
      <c r="A10" s="2" t="s">
        <v>85</v>
      </c>
      <c r="B10" s="2" t="s">
        <v>69</v>
      </c>
      <c r="C10" s="2" t="s">
        <v>86</v>
      </c>
      <c r="D10" s="2" t="s">
        <v>87</v>
      </c>
      <c r="E10" s="2" t="s">
        <v>72</v>
      </c>
      <c r="F10" s="2" t="s">
        <v>26</v>
      </c>
      <c r="G10" s="2" t="s">
        <v>73</v>
      </c>
      <c r="H10" s="2" t="s">
        <v>81</v>
      </c>
      <c r="I10" s="2" t="s">
        <v>82</v>
      </c>
      <c r="J10" s="2" t="s">
        <v>83</v>
      </c>
      <c r="K10" s="2" t="s">
        <v>84</v>
      </c>
    </row>
    <row r="11" customFormat="false" ht="57.75" hidden="false" customHeight="true" outlineLevel="0" collapsed="false">
      <c r="A11" s="3" t="s">
        <v>88</v>
      </c>
      <c r="B11" s="3" t="s">
        <v>69</v>
      </c>
      <c r="C11" s="3" t="s">
        <v>89</v>
      </c>
      <c r="D11" s="3" t="s">
        <v>90</v>
      </c>
      <c r="E11" s="3" t="s">
        <v>72</v>
      </c>
      <c r="F11" s="3" t="s">
        <v>26</v>
      </c>
      <c r="G11" s="3" t="s">
        <v>73</v>
      </c>
      <c r="H11" s="3" t="s">
        <v>81</v>
      </c>
      <c r="I11" s="3" t="s">
        <v>82</v>
      </c>
      <c r="J11" s="3" t="s">
        <v>83</v>
      </c>
      <c r="K11" s="3" t="s">
        <v>84</v>
      </c>
    </row>
    <row r="12" customFormat="false" ht="57.75" hidden="false" customHeight="true" outlineLevel="0" collapsed="false">
      <c r="A12" s="2" t="s">
        <v>91</v>
      </c>
      <c r="B12" s="2" t="s">
        <v>69</v>
      </c>
      <c r="C12" s="2" t="s">
        <v>59</v>
      </c>
      <c r="D12" s="2" t="s">
        <v>92</v>
      </c>
      <c r="E12" s="2" t="s">
        <v>43</v>
      </c>
      <c r="F12" s="2" t="s">
        <v>26</v>
      </c>
      <c r="G12" s="2" t="s">
        <v>27</v>
      </c>
      <c r="H12" s="2" t="s">
        <v>28</v>
      </c>
      <c r="I12" s="2" t="s">
        <v>37</v>
      </c>
      <c r="J12" s="2" t="s">
        <v>66</v>
      </c>
      <c r="K12" s="2" t="s">
        <v>93</v>
      </c>
    </row>
    <row r="13" customFormat="false" ht="57.75" hidden="false" customHeight="true" outlineLevel="0" collapsed="false">
      <c r="A13" s="3" t="s">
        <v>94</v>
      </c>
      <c r="B13" s="3" t="s">
        <v>95</v>
      </c>
      <c r="C13" s="3" t="s">
        <v>96</v>
      </c>
      <c r="D13" s="3" t="s">
        <v>97</v>
      </c>
      <c r="E13" s="3" t="s">
        <v>98</v>
      </c>
      <c r="F13" s="3" t="s">
        <v>26</v>
      </c>
      <c r="G13" s="3" t="s">
        <v>99</v>
      </c>
      <c r="H13" s="3" t="s">
        <v>28</v>
      </c>
      <c r="I13" s="3" t="s">
        <v>100</v>
      </c>
      <c r="J13" s="3" t="s">
        <v>101</v>
      </c>
      <c r="K13" s="3" t="s">
        <v>102</v>
      </c>
    </row>
    <row r="15" customFormat="false" ht="15" hidden="false" customHeight="false" outlineLevel="0" collapsed="false">
      <c r="A15" s="4" t="s">
        <v>103</v>
      </c>
      <c r="B15" s="4"/>
      <c r="C15" s="4"/>
      <c r="D15" s="4"/>
      <c r="E15" s="4"/>
      <c r="F15" s="4"/>
      <c r="G15" s="4"/>
      <c r="H15" s="4"/>
      <c r="I15" s="4"/>
      <c r="J15" s="4"/>
      <c r="K15" s="4"/>
    </row>
  </sheetData>
  <mergeCells count="1">
    <mergeCell ref="A15:K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8"/>
    <col collapsed="false" customWidth="true" hidden="false" outlineLevel="0" max="4" min="4" style="0" width="26"/>
    <col collapsed="false" customWidth="true" hidden="false" outlineLevel="0" max="5" min="5" style="0" width="46"/>
  </cols>
  <sheetData>
    <row r="1" customFormat="false" ht="15" hidden="false" customHeight="false" outlineLevel="0" collapsed="false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108</v>
      </c>
    </row>
    <row r="2" customFormat="false" ht="15" hidden="false" customHeight="false" outlineLevel="0" collapsed="false">
      <c r="A2" s="5" t="s">
        <v>109</v>
      </c>
      <c r="B2" s="5"/>
      <c r="C2" s="5"/>
      <c r="D2" s="5"/>
      <c r="E2" s="5"/>
    </row>
    <row r="3" customFormat="false" ht="15" hidden="false" customHeight="false" outlineLevel="0" collapsed="false">
      <c r="A3" s="2" t="s">
        <v>110</v>
      </c>
      <c r="B3" s="2" t="s">
        <v>111</v>
      </c>
      <c r="C3" s="2" t="n">
        <v>3</v>
      </c>
      <c r="D3" s="2" t="s">
        <v>112</v>
      </c>
      <c r="E3" s="2" t="s">
        <v>113</v>
      </c>
    </row>
    <row r="4" customFormat="false" ht="15" hidden="false" customHeight="false" outlineLevel="0" collapsed="false">
      <c r="A4" s="3" t="s">
        <v>110</v>
      </c>
      <c r="B4" s="3" t="s">
        <v>114</v>
      </c>
      <c r="C4" s="3" t="n">
        <v>1</v>
      </c>
      <c r="D4" s="3" t="s">
        <v>115</v>
      </c>
      <c r="E4" s="3" t="s">
        <v>116</v>
      </c>
    </row>
    <row r="5" customFormat="false" ht="15" hidden="false" customHeight="false" outlineLevel="0" collapsed="false">
      <c r="A5" s="2" t="s">
        <v>110</v>
      </c>
      <c r="B5" s="2" t="s">
        <v>117</v>
      </c>
      <c r="C5" s="2" t="n">
        <v>1</v>
      </c>
      <c r="D5" s="2" t="s">
        <v>115</v>
      </c>
      <c r="E5" s="2" t="s">
        <v>118</v>
      </c>
    </row>
    <row r="6" customFormat="false" ht="15" hidden="false" customHeight="false" outlineLevel="0" collapsed="false">
      <c r="A6" s="3" t="s">
        <v>110</v>
      </c>
      <c r="B6" s="3" t="s">
        <v>119</v>
      </c>
      <c r="C6" s="3" t="n">
        <v>1</v>
      </c>
      <c r="D6" s="3" t="s">
        <v>120</v>
      </c>
      <c r="E6" s="3" t="s">
        <v>121</v>
      </c>
    </row>
    <row r="7" customFormat="false" ht="23.85" hidden="false" customHeight="false" outlineLevel="0" collapsed="false">
      <c r="A7" s="2" t="s">
        <v>110</v>
      </c>
      <c r="B7" s="2" t="s">
        <v>122</v>
      </c>
      <c r="C7" s="2" t="n">
        <v>1</v>
      </c>
      <c r="D7" s="2" t="s">
        <v>123</v>
      </c>
      <c r="E7" s="2" t="s">
        <v>124</v>
      </c>
    </row>
    <row r="8" customFormat="false" ht="15" hidden="false" customHeight="false" outlineLevel="0" collapsed="false">
      <c r="A8" s="5" t="s">
        <v>125</v>
      </c>
      <c r="B8" s="5"/>
      <c r="C8" s="5"/>
      <c r="D8" s="5"/>
      <c r="E8" s="5"/>
    </row>
    <row r="9" customFormat="false" ht="15" hidden="false" customHeight="false" outlineLevel="0" collapsed="false">
      <c r="A9" s="2" t="s">
        <v>126</v>
      </c>
      <c r="B9" s="2" t="s">
        <v>127</v>
      </c>
      <c r="C9" s="2" t="n">
        <v>3</v>
      </c>
      <c r="D9" s="2" t="s">
        <v>128</v>
      </c>
      <c r="E9" s="2" t="s">
        <v>129</v>
      </c>
    </row>
    <row r="10" customFormat="false" ht="15" hidden="false" customHeight="false" outlineLevel="0" collapsed="false">
      <c r="A10" s="3" t="s">
        <v>126</v>
      </c>
      <c r="B10" s="3" t="s">
        <v>130</v>
      </c>
      <c r="C10" s="3" t="n">
        <v>1</v>
      </c>
      <c r="D10" s="3" t="s">
        <v>131</v>
      </c>
      <c r="E10" s="3" t="s">
        <v>132</v>
      </c>
    </row>
    <row r="11" customFormat="false" ht="15" hidden="false" customHeight="false" outlineLevel="0" collapsed="false">
      <c r="A11" s="2" t="s">
        <v>126</v>
      </c>
      <c r="B11" s="2" t="s">
        <v>133</v>
      </c>
      <c r="C11" s="2" t="n">
        <v>1</v>
      </c>
      <c r="D11" s="2" t="s">
        <v>131</v>
      </c>
      <c r="E11" s="2" t="s">
        <v>134</v>
      </c>
    </row>
    <row r="12" customFormat="false" ht="15" hidden="false" customHeight="false" outlineLevel="0" collapsed="false">
      <c r="A12" s="3" t="s">
        <v>126</v>
      </c>
      <c r="B12" s="3" t="s">
        <v>135</v>
      </c>
      <c r="C12" s="3" t="n">
        <v>2</v>
      </c>
      <c r="D12" s="3" t="s">
        <v>136</v>
      </c>
      <c r="E12" s="3" t="s">
        <v>137</v>
      </c>
    </row>
    <row r="13" customFormat="false" ht="15" hidden="false" customHeight="false" outlineLevel="0" collapsed="false">
      <c r="A13" s="2" t="s">
        <v>126</v>
      </c>
      <c r="B13" s="2" t="s">
        <v>138</v>
      </c>
      <c r="C13" s="2" t="n">
        <v>1</v>
      </c>
      <c r="D13" s="2" t="s">
        <v>139</v>
      </c>
      <c r="E13" s="2" t="s">
        <v>140</v>
      </c>
    </row>
    <row r="14" customFormat="false" ht="15" hidden="false" customHeight="false" outlineLevel="0" collapsed="false">
      <c r="A14" s="3" t="s">
        <v>126</v>
      </c>
      <c r="B14" s="3" t="s">
        <v>141</v>
      </c>
      <c r="C14" s="3" t="n">
        <v>2</v>
      </c>
      <c r="D14" s="3" t="s">
        <v>142</v>
      </c>
      <c r="E14" s="3" t="s">
        <v>143</v>
      </c>
    </row>
    <row r="15" customFormat="false" ht="15" hidden="false" customHeight="false" outlineLevel="0" collapsed="false">
      <c r="A15" s="2" t="s">
        <v>126</v>
      </c>
      <c r="B15" s="2" t="s">
        <v>144</v>
      </c>
      <c r="C15" s="2" t="n">
        <v>1</v>
      </c>
      <c r="D15" s="2" t="s">
        <v>145</v>
      </c>
      <c r="E15" s="2" t="s">
        <v>146</v>
      </c>
    </row>
    <row r="16" customFormat="false" ht="15" hidden="false" customHeight="false" outlineLevel="0" collapsed="false">
      <c r="A16" s="5" t="s">
        <v>147</v>
      </c>
      <c r="B16" s="5"/>
      <c r="C16" s="5"/>
      <c r="D16" s="5"/>
      <c r="E16" s="5"/>
    </row>
    <row r="17" customFormat="false" ht="15" hidden="false" customHeight="false" outlineLevel="0" collapsed="false">
      <c r="A17" s="2" t="s">
        <v>148</v>
      </c>
      <c r="B17" s="2" t="s">
        <v>127</v>
      </c>
      <c r="C17" s="2" t="n">
        <v>4</v>
      </c>
      <c r="D17" s="2" t="s">
        <v>149</v>
      </c>
      <c r="E17" s="2" t="s">
        <v>150</v>
      </c>
    </row>
    <row r="18" customFormat="false" ht="15" hidden="false" customHeight="false" outlineLevel="0" collapsed="false">
      <c r="A18" s="3" t="s">
        <v>148</v>
      </c>
      <c r="B18" s="3" t="s">
        <v>151</v>
      </c>
      <c r="C18" s="3" t="n">
        <v>2</v>
      </c>
      <c r="D18" s="3" t="s">
        <v>136</v>
      </c>
      <c r="E18" s="3" t="s">
        <v>152</v>
      </c>
    </row>
    <row r="19" customFormat="false" ht="15" hidden="false" customHeight="false" outlineLevel="0" collapsed="false">
      <c r="A19" s="2" t="s">
        <v>148</v>
      </c>
      <c r="B19" s="2" t="s">
        <v>153</v>
      </c>
      <c r="C19" s="2" t="n">
        <v>1</v>
      </c>
      <c r="D19" s="2" t="s">
        <v>131</v>
      </c>
      <c r="E19" s="2" t="s">
        <v>154</v>
      </c>
    </row>
    <row r="20" customFormat="false" ht="23.85" hidden="false" customHeight="false" outlineLevel="0" collapsed="false">
      <c r="A20" s="3" t="s">
        <v>148</v>
      </c>
      <c r="B20" s="3" t="s">
        <v>155</v>
      </c>
      <c r="C20" s="3" t="n">
        <v>2</v>
      </c>
      <c r="D20" s="3" t="s">
        <v>156</v>
      </c>
      <c r="E20" s="3" t="s">
        <v>157</v>
      </c>
    </row>
    <row r="21" customFormat="false" ht="15" hidden="false" customHeight="false" outlineLevel="0" collapsed="false">
      <c r="A21" s="2" t="s">
        <v>148</v>
      </c>
      <c r="B21" s="2" t="s">
        <v>158</v>
      </c>
      <c r="C21" s="2" t="n">
        <v>1</v>
      </c>
      <c r="D21" s="2" t="s">
        <v>159</v>
      </c>
      <c r="E21" s="2" t="s">
        <v>160</v>
      </c>
    </row>
    <row r="22" customFormat="false" ht="15" hidden="false" customHeight="false" outlineLevel="0" collapsed="false">
      <c r="A22" s="3" t="s">
        <v>148</v>
      </c>
      <c r="B22" s="3" t="s">
        <v>161</v>
      </c>
      <c r="C22" s="3" t="n">
        <v>1</v>
      </c>
      <c r="D22" s="3" t="s">
        <v>159</v>
      </c>
      <c r="E22" s="3" t="s">
        <v>162</v>
      </c>
    </row>
    <row r="23" customFormat="false" ht="15" hidden="false" customHeight="false" outlineLevel="0" collapsed="false">
      <c r="A23" s="2" t="s">
        <v>148</v>
      </c>
      <c r="B23" s="2" t="s">
        <v>163</v>
      </c>
      <c r="C23" s="2" t="n">
        <v>2</v>
      </c>
      <c r="D23" s="2" t="s">
        <v>159</v>
      </c>
      <c r="E23" s="2" t="s">
        <v>164</v>
      </c>
    </row>
    <row r="24" customFormat="false" ht="23.85" hidden="false" customHeight="false" outlineLevel="0" collapsed="false">
      <c r="A24" s="3" t="s">
        <v>148</v>
      </c>
      <c r="B24" s="3" t="s">
        <v>165</v>
      </c>
      <c r="C24" s="3" t="n">
        <v>1</v>
      </c>
      <c r="D24" s="3" t="s">
        <v>166</v>
      </c>
      <c r="E24" s="3" t="s">
        <v>167</v>
      </c>
    </row>
  </sheetData>
  <mergeCells count="3">
    <mergeCell ref="A2:E2"/>
    <mergeCell ref="A8:E8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6" t="s">
        <v>168</v>
      </c>
    </row>
    <row r="2" customFormat="false" ht="7.5" hidden="false" customHeight="true" outlineLevel="0" collapsed="false">
      <c r="A2" s="7"/>
    </row>
    <row r="3" customFormat="false" ht="30" hidden="false" customHeight="true" outlineLevel="0" collapsed="false">
      <c r="A3" s="7" t="s">
        <v>169</v>
      </c>
    </row>
    <row r="4" customFormat="false" ht="30" hidden="false" customHeight="true" outlineLevel="0" collapsed="false">
      <c r="A4" s="7" t="s">
        <v>170</v>
      </c>
    </row>
    <row r="5" customFormat="false" ht="30" hidden="false" customHeight="true" outlineLevel="0" collapsed="false">
      <c r="A5" s="7" t="s">
        <v>171</v>
      </c>
    </row>
    <row r="6" customFormat="false" ht="30" hidden="false" customHeight="true" outlineLevel="0" collapsed="false">
      <c r="A6" s="7" t="s">
        <v>172</v>
      </c>
    </row>
    <row r="7" customFormat="false" ht="30" hidden="false" customHeight="true" outlineLevel="0" collapsed="false">
      <c r="A7" s="7" t="s">
        <v>173</v>
      </c>
    </row>
    <row r="8" customFormat="false" ht="30" hidden="false" customHeight="true" outlineLevel="0" collapsed="false">
      <c r="A8" s="7" t="s">
        <v>174</v>
      </c>
    </row>
    <row r="9" customFormat="false" ht="30" hidden="false" customHeight="true" outlineLevel="0" collapsed="false">
      <c r="A9" s="7" t="s">
        <v>175</v>
      </c>
    </row>
    <row r="12" customFormat="false" ht="15" hidden="false" customHeight="false" outlineLevel="0" collapsed="false">
      <c r="A12" s="8" t="s">
        <v>176</v>
      </c>
    </row>
    <row r="13" customFormat="false" ht="15" hidden="false" customHeight="false" outlineLevel="0" collapsed="false">
      <c r="A13" s="9" t="s">
        <v>177</v>
      </c>
      <c r="B13" s="10" t="n">
        <f aca="false">COUNTA('Circuit BOM'!A2:A200)-1</f>
        <v>12</v>
      </c>
    </row>
    <row r="14" customFormat="false" ht="15" hidden="false" customHeight="false" outlineLevel="0" collapsed="false">
      <c r="A14" s="9" t="s">
        <v>178</v>
      </c>
      <c r="B14" s="10" t="n">
        <f aca="false">COUNT('Hardware BOM'!C2:C200)</f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2026-08-16T06:18:29Z</dcterms:created>
  <dc:creator>openpyxl</dc:creator>
  <dc:description/>
  <dc:language>en-US</dc:language>
  <cp:lastModifiedBy/>
  <dcterms:modified xsi:type="dcterms:W3CDTF">2026-08-16T06:18:29Z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